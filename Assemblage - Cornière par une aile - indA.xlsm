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227" codeName="{957460C9-B318-DD5D-5CC9-C049C1E746CC}"/>
  <workbookPr codeName="ThisWorkbook"/>
  <mc:AlternateContent xmlns:mc="http://schemas.openxmlformats.org/markup-compatibility/2006">
    <mc:Choice Requires="x15">
      <x15ac:absPath xmlns:x15ac="http://schemas.microsoft.com/office/spreadsheetml/2010/11/ac" url="C:\Users\vbourgeois\Documents\Privé\01 - Feuilles calcul Github\"/>
    </mc:Choice>
  </mc:AlternateContent>
  <xr:revisionPtr revIDLastSave="0" documentId="13_ncr:1_{40F8148B-44A6-4F39-8214-C2A2805F1775}" xr6:coauthVersionLast="47" xr6:coauthVersionMax="47" xr10:uidLastSave="{00000000-0000-0000-0000-000000000000}"/>
  <bookViews>
    <workbookView xWindow="-28920" yWindow="-120" windowWidth="29040" windowHeight="15720" activeTab="2" xr2:uid="{00000000-000D-0000-FFFF-FFFF00000000}"/>
  </bookViews>
  <sheets>
    <sheet name="Copyright" sheetId="5" r:id="rId1"/>
    <sheet name="Suivi" sheetId="4" r:id="rId2"/>
    <sheet name="Calcul" sheetId="1" r:id="rId3"/>
    <sheet name="Listes" sheetId="2" r:id="rId4"/>
  </sheets>
  <externalReferences>
    <externalReference r:id="rId5"/>
    <externalReference r:id="rId6"/>
  </externalReferences>
  <definedNames>
    <definedName name="Choix">Calcul!$I$3:$I$4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26" i="1" l="1"/>
  <c r="AQ14" i="1"/>
  <c r="AH58" i="1" l="1"/>
  <c r="D52" i="1"/>
  <c r="V10" i="1"/>
  <c r="V11" i="1" s="1"/>
  <c r="V9" i="1"/>
  <c r="X67" i="1"/>
  <c r="AG22" i="1"/>
  <c r="X55" i="1"/>
  <c r="C47" i="1"/>
  <c r="C48" i="1"/>
  <c r="C30" i="1"/>
  <c r="C29" i="1"/>
  <c r="C19" i="1"/>
  <c r="AG10" i="1"/>
  <c r="AQ10" i="1"/>
  <c r="C22" i="1"/>
  <c r="C21" i="1"/>
  <c r="C20" i="1"/>
  <c r="W30" i="1" s="1"/>
  <c r="N3" i="2"/>
  <c r="N2" i="2"/>
  <c r="J3" i="2"/>
  <c r="J2" i="2"/>
  <c r="H8" i="2"/>
  <c r="H7" i="2"/>
  <c r="W19" i="1"/>
  <c r="AG14" i="1"/>
  <c r="AG26" i="1"/>
  <c r="AG13" i="1"/>
  <c r="AG25" i="1"/>
  <c r="X59" i="1"/>
  <c r="X70" i="1"/>
  <c r="X58" i="1"/>
  <c r="X71" i="1"/>
  <c r="W20" i="1"/>
  <c r="AH57" i="1" l="1"/>
  <c r="AG11" i="1"/>
  <c r="AG17" i="1" s="1"/>
  <c r="D53" i="1"/>
  <c r="X61" i="1"/>
  <c r="X56" i="1"/>
  <c r="X62" i="1" s="1"/>
  <c r="X73" i="1"/>
  <c r="AQ11" i="1"/>
  <c r="AQ12" i="1" s="1"/>
  <c r="AQ16" i="1" s="1"/>
  <c r="AW12" i="1" s="1"/>
  <c r="AW13" i="1" s="1"/>
  <c r="C67" i="1" s="1"/>
  <c r="J67" i="1" s="1"/>
  <c r="W29" i="1"/>
  <c r="AG28" i="1"/>
  <c r="AG16" i="1"/>
  <c r="X68" i="1"/>
  <c r="X74" i="1" s="1"/>
  <c r="V18" i="1"/>
  <c r="V28" i="1"/>
  <c r="AG56" i="1"/>
  <c r="C70" i="1"/>
  <c r="C69" i="1"/>
  <c r="C64" i="1" l="1"/>
  <c r="J64" i="1" s="1"/>
  <c r="C71" i="1"/>
  <c r="J71" i="1" s="1"/>
  <c r="J70" i="1"/>
  <c r="J69" i="1"/>
  <c r="AG23" i="1"/>
  <c r="AG29" i="1" s="1"/>
  <c r="AG30" i="1" s="1"/>
  <c r="AG31" i="1" s="1"/>
  <c r="X63" i="1"/>
  <c r="X64" i="1" s="1"/>
  <c r="X75" i="1"/>
  <c r="X76" i="1" s="1"/>
  <c r="C65" i="1"/>
  <c r="J65" i="1" s="1"/>
  <c r="AG18" i="1"/>
  <c r="AG19" i="1" s="1"/>
  <c r="AC64" i="1" l="1"/>
  <c r="AC65" i="1" s="1"/>
  <c r="C68" i="1" s="1"/>
  <c r="AL19" i="1"/>
  <c r="AL20" i="1" l="1"/>
  <c r="C66" i="1" s="1"/>
  <c r="J68" i="1"/>
  <c r="D58" i="1"/>
  <c r="J66" i="1" l="1"/>
  <c r="D36" i="1"/>
</calcChain>
</file>

<file path=xl/sharedStrings.xml><?xml version="1.0" encoding="utf-8"?>
<sst xmlns="http://schemas.openxmlformats.org/spreadsheetml/2006/main" count="287" uniqueCount="161">
  <si>
    <t>Assemblage de cornières attachées par une aile</t>
  </si>
  <si>
    <t>daN</t>
  </si>
  <si>
    <t>Cisaillement de bloc</t>
  </si>
  <si>
    <t>Boulons en cisaillement</t>
  </si>
  <si>
    <t>Rupture en section nette</t>
  </si>
  <si>
    <t>Ailes égales</t>
  </si>
  <si>
    <t>Nom</t>
  </si>
  <si>
    <t>30x30x3</t>
  </si>
  <si>
    <t>40x40x4</t>
  </si>
  <si>
    <t>50x50x5</t>
  </si>
  <si>
    <t>60x60x6</t>
  </si>
  <si>
    <t>70x70x7</t>
  </si>
  <si>
    <t>80x80x8</t>
  </si>
  <si>
    <t>90x90x9</t>
  </si>
  <si>
    <t>100x100x10</t>
  </si>
  <si>
    <t>e1 =</t>
  </si>
  <si>
    <t>p1 =</t>
  </si>
  <si>
    <t>Personnalisé</t>
  </si>
  <si>
    <t>Nombre de boulons :</t>
  </si>
  <si>
    <t>d_bord =</t>
  </si>
  <si>
    <t>b = h [mm]</t>
  </si>
  <si>
    <t>t [mm]</t>
  </si>
  <si>
    <t>ys [mm]</t>
  </si>
  <si>
    <t>b =</t>
  </si>
  <si>
    <t>mm</t>
  </si>
  <si>
    <t>Caractéristiques de la cornière de la cornière :</t>
  </si>
  <si>
    <t>Sections :</t>
  </si>
  <si>
    <t>Outil de calcul ind A</t>
  </si>
  <si>
    <t>t =</t>
  </si>
  <si>
    <t>ys =</t>
  </si>
  <si>
    <t>Classe des boulons :</t>
  </si>
  <si>
    <t>Classe des Boulons</t>
  </si>
  <si>
    <t>Recommandations :</t>
  </si>
  <si>
    <t>Recommandations</t>
  </si>
  <si>
    <t>NF</t>
  </si>
  <si>
    <t>Diamètre des boulons</t>
  </si>
  <si>
    <t>Diamètre des boulons d :</t>
  </si>
  <si>
    <t>Perçage d0 :</t>
  </si>
  <si>
    <t>Perçage M12 ou M14 en phi+2 (EC3-1-8 §3.6.1(5))</t>
  </si>
  <si>
    <t>Critères complémentaires</t>
  </si>
  <si>
    <t>Vrai/Faux</t>
  </si>
  <si>
    <t>A =</t>
  </si>
  <si>
    <t>mm²</t>
  </si>
  <si>
    <t>Nuance :</t>
  </si>
  <si>
    <t>Nuance</t>
  </si>
  <si>
    <t>S235</t>
  </si>
  <si>
    <t>S275</t>
  </si>
  <si>
    <t>S355</t>
  </si>
  <si>
    <t>fy [MPa]</t>
  </si>
  <si>
    <t>fu [MPa]</t>
  </si>
  <si>
    <t>A [mm²]</t>
  </si>
  <si>
    <t>fy :</t>
  </si>
  <si>
    <t>MPa</t>
  </si>
  <si>
    <t>fu :</t>
  </si>
  <si>
    <t>Calage non soudé tp :</t>
  </si>
  <si>
    <t>Personnalisé :</t>
  </si>
  <si>
    <t>fy =</t>
  </si>
  <si>
    <t>fu =</t>
  </si>
  <si>
    <t>Personnalisée</t>
  </si>
  <si>
    <t>Date</t>
  </si>
  <si>
    <t>Indice</t>
  </si>
  <si>
    <t>Emetteur</t>
  </si>
  <si>
    <t>Description</t>
  </si>
  <si>
    <t>Description de la feuille et limites d'usage</t>
  </si>
  <si>
    <r>
      <t>Calcul de N</t>
    </r>
    <r>
      <rPr>
        <sz val="10"/>
        <color theme="1"/>
        <rFont val="Calibri"/>
        <family val="2"/>
        <scheme val="minor"/>
      </rPr>
      <t>Rd,1</t>
    </r>
  </si>
  <si>
    <t>Nu,Rd correspond à l'EN1993-1-8 §3.10.3 spécifiques aux cornières</t>
  </si>
  <si>
    <r>
      <t>N</t>
    </r>
    <r>
      <rPr>
        <sz val="8"/>
        <color theme="1"/>
        <rFont val="Calibri"/>
        <family val="2"/>
        <scheme val="minor"/>
      </rPr>
      <t>pl,Rd</t>
    </r>
    <r>
      <rPr>
        <sz val="11"/>
        <color theme="1"/>
        <rFont val="Calibri"/>
        <family val="2"/>
        <scheme val="minor"/>
      </rPr>
      <t xml:space="preserve"> = </t>
    </r>
  </si>
  <si>
    <r>
      <t>N</t>
    </r>
    <r>
      <rPr>
        <sz val="8"/>
        <color theme="1"/>
        <rFont val="Calibri"/>
        <family val="2"/>
        <scheme val="minor"/>
      </rPr>
      <t>u,Rd</t>
    </r>
    <r>
      <rPr>
        <sz val="11"/>
        <color theme="1"/>
        <rFont val="Calibri"/>
        <family val="2"/>
        <scheme val="minor"/>
      </rPr>
      <t xml:space="preserve"> =</t>
    </r>
  </si>
  <si>
    <r>
      <t>N</t>
    </r>
    <r>
      <rPr>
        <sz val="8"/>
        <color theme="1"/>
        <rFont val="Calibri"/>
        <family val="2"/>
        <scheme val="minor"/>
      </rPr>
      <t>Rd,1</t>
    </r>
    <r>
      <rPr>
        <sz val="11"/>
        <color theme="1"/>
        <rFont val="Calibri"/>
        <family val="2"/>
        <scheme val="minor"/>
      </rPr>
      <t xml:space="preserve"> =</t>
    </r>
  </si>
  <si>
    <r>
      <t>Calcul de N</t>
    </r>
    <r>
      <rPr>
        <sz val="10"/>
        <color theme="1"/>
        <rFont val="Calibri"/>
        <family val="2"/>
        <scheme val="minor"/>
      </rPr>
      <t>Rd,2</t>
    </r>
  </si>
  <si>
    <t>Taux de travail</t>
  </si>
  <si>
    <t>Détails des calculs</t>
  </si>
  <si>
    <t>Effort NRd =</t>
  </si>
  <si>
    <r>
      <t>V</t>
    </r>
    <r>
      <rPr>
        <sz val="8"/>
        <color theme="1"/>
        <rFont val="Calibri"/>
        <family val="2"/>
        <scheme val="minor"/>
      </rPr>
      <t>eff,2,Rd</t>
    </r>
    <r>
      <rPr>
        <sz val="11"/>
        <color theme="1"/>
        <rFont val="Calibri"/>
        <family val="2"/>
        <scheme val="minor"/>
      </rPr>
      <t xml:space="preserve"> =</t>
    </r>
  </si>
  <si>
    <r>
      <t>A</t>
    </r>
    <r>
      <rPr>
        <sz val="8"/>
        <color theme="1"/>
        <rFont val="Calibri"/>
        <family val="2"/>
        <scheme val="minor"/>
      </rPr>
      <t>nt</t>
    </r>
    <r>
      <rPr>
        <sz val="11"/>
        <color theme="1"/>
        <rFont val="Calibri"/>
        <family val="2"/>
        <scheme val="minor"/>
      </rPr>
      <t xml:space="preserve"> =</t>
    </r>
  </si>
  <si>
    <r>
      <t>A</t>
    </r>
    <r>
      <rPr>
        <sz val="8"/>
        <color theme="1"/>
        <rFont val="Calibri"/>
        <family val="2"/>
        <scheme val="minor"/>
      </rPr>
      <t>nv</t>
    </r>
    <r>
      <rPr>
        <sz val="11"/>
        <color theme="1"/>
        <rFont val="Calibri"/>
        <family val="2"/>
        <scheme val="minor"/>
      </rPr>
      <t xml:space="preserve"> =</t>
    </r>
  </si>
  <si>
    <t>Boulon le plus sollicité</t>
  </si>
  <si>
    <r>
      <t>F</t>
    </r>
    <r>
      <rPr>
        <sz val="8"/>
        <color theme="1"/>
        <rFont val="Calibri"/>
        <family val="2"/>
        <scheme val="minor"/>
      </rPr>
      <t>Ed,1,longitudinal</t>
    </r>
    <r>
      <rPr>
        <sz val="11"/>
        <color theme="1"/>
        <rFont val="Calibri"/>
        <family val="2"/>
        <scheme val="minor"/>
      </rPr>
      <t xml:space="preserve"> =</t>
    </r>
  </si>
  <si>
    <r>
      <t>F</t>
    </r>
    <r>
      <rPr>
        <sz val="8"/>
        <color theme="1"/>
        <rFont val="Calibri"/>
        <family val="2"/>
        <scheme val="minor"/>
      </rPr>
      <t>Ed,1,transversal</t>
    </r>
    <r>
      <rPr>
        <sz val="11"/>
        <color theme="1"/>
        <rFont val="Calibri"/>
        <family val="2"/>
        <scheme val="minor"/>
      </rPr>
      <t xml:space="preserve"> =</t>
    </r>
  </si>
  <si>
    <t>Calculs intermédiaires utiles</t>
  </si>
  <si>
    <r>
      <rPr>
        <sz val="11"/>
        <color theme="1"/>
        <rFont val="Calibri"/>
        <family val="2"/>
      </rPr>
      <t>∑</t>
    </r>
    <r>
      <rPr>
        <sz val="9.35"/>
        <color theme="1"/>
        <rFont val="Calibri"/>
        <family val="2"/>
      </rPr>
      <t>di² =</t>
    </r>
  </si>
  <si>
    <t>d,max =</t>
  </si>
  <si>
    <r>
      <t>F</t>
    </r>
    <r>
      <rPr>
        <sz val="8"/>
        <color theme="1"/>
        <rFont val="Calibri"/>
        <family val="2"/>
        <scheme val="minor"/>
      </rPr>
      <t>b,Rd,longitudial</t>
    </r>
    <r>
      <rPr>
        <sz val="11"/>
        <color theme="1"/>
        <rFont val="Calibri"/>
        <family val="2"/>
        <scheme val="minor"/>
      </rPr>
      <t xml:space="preserve"> =</t>
    </r>
  </si>
  <si>
    <r>
      <t>F</t>
    </r>
    <r>
      <rPr>
        <sz val="8"/>
        <color theme="1"/>
        <rFont val="Calibri"/>
        <family val="2"/>
        <scheme val="minor"/>
      </rPr>
      <t>b,Rd,transversal</t>
    </r>
    <r>
      <rPr>
        <sz val="11"/>
        <color theme="1"/>
        <rFont val="Calibri"/>
        <family val="2"/>
        <scheme val="minor"/>
      </rPr>
      <t xml:space="preserve"> =</t>
    </r>
  </si>
  <si>
    <t>Taux travail longi =</t>
  </si>
  <si>
    <t>Taux travail transversal =</t>
  </si>
  <si>
    <t>Taux travail interaction =</t>
  </si>
  <si>
    <t>Second boulon le plus sollicité</t>
  </si>
  <si>
    <t>d,second =</t>
  </si>
  <si>
    <t>Taux travail max =</t>
  </si>
  <si>
    <r>
      <t>Calcul de N</t>
    </r>
    <r>
      <rPr>
        <sz val="10"/>
        <color theme="1"/>
        <rFont val="Calibri"/>
        <family val="2"/>
        <scheme val="minor"/>
      </rPr>
      <t>Rd,3</t>
    </r>
  </si>
  <si>
    <r>
      <t>Calcul de N</t>
    </r>
    <r>
      <rPr>
        <sz val="10"/>
        <color theme="1"/>
        <rFont val="Calibri"/>
        <family val="2"/>
        <scheme val="minor"/>
      </rPr>
      <t>Rd,4</t>
    </r>
  </si>
  <si>
    <r>
      <t>FE</t>
    </r>
    <r>
      <rPr>
        <sz val="8"/>
        <color theme="1"/>
        <rFont val="Calibri"/>
        <family val="2"/>
        <scheme val="minor"/>
      </rPr>
      <t>d,total</t>
    </r>
    <r>
      <rPr>
        <sz val="11"/>
        <color theme="1"/>
        <rFont val="Calibri"/>
        <family val="2"/>
        <scheme val="minor"/>
      </rPr>
      <t xml:space="preserve"> =</t>
    </r>
  </si>
  <si>
    <t>Taux de travail =</t>
  </si>
  <si>
    <r>
      <t>F</t>
    </r>
    <r>
      <rPr>
        <sz val="8"/>
        <color theme="1"/>
        <rFont val="Calibri"/>
        <family val="2"/>
        <scheme val="minor"/>
      </rPr>
      <t>v,Rd</t>
    </r>
    <r>
      <rPr>
        <sz val="11"/>
        <color theme="1"/>
        <rFont val="Calibri"/>
        <family val="2"/>
        <scheme val="minor"/>
      </rPr>
      <t xml:space="preserve"> =</t>
    </r>
  </si>
  <si>
    <r>
      <t>Effort F</t>
    </r>
    <r>
      <rPr>
        <sz val="8"/>
        <color theme="1"/>
        <rFont val="Calibri"/>
        <family val="2"/>
        <scheme val="minor"/>
      </rPr>
      <t>b,Rd,assemblage</t>
    </r>
    <r>
      <rPr>
        <sz val="11"/>
        <color theme="1"/>
        <rFont val="Calibri"/>
        <family val="2"/>
        <scheme val="minor"/>
      </rPr>
      <t xml:space="preserve"> = </t>
    </r>
  </si>
  <si>
    <r>
      <t>Effort Fv</t>
    </r>
    <r>
      <rPr>
        <sz val="8"/>
        <color theme="1"/>
        <rFont val="Calibri"/>
        <family val="2"/>
        <scheme val="minor"/>
      </rPr>
      <t>,Rd,assemblage</t>
    </r>
    <r>
      <rPr>
        <sz val="11"/>
        <color theme="1"/>
        <rFont val="Calibri"/>
        <family val="2"/>
        <scheme val="minor"/>
      </rPr>
      <t xml:space="preserve"> = </t>
    </r>
  </si>
  <si>
    <t>Vérification du gousset</t>
  </si>
  <si>
    <r>
      <t>N</t>
    </r>
    <r>
      <rPr>
        <sz val="8"/>
        <color theme="1"/>
        <rFont val="Calibri"/>
        <family val="2"/>
        <scheme val="minor"/>
      </rPr>
      <t>Rd,2</t>
    </r>
    <r>
      <rPr>
        <sz val="11"/>
        <color theme="1"/>
        <rFont val="Calibri"/>
        <family val="2"/>
        <scheme val="minor"/>
      </rPr>
      <t xml:space="preserve"> =</t>
    </r>
  </si>
  <si>
    <r>
      <t>N</t>
    </r>
    <r>
      <rPr>
        <sz val="8"/>
        <color theme="1"/>
        <rFont val="Calibri"/>
        <family val="2"/>
        <scheme val="minor"/>
      </rPr>
      <t>Rd,3</t>
    </r>
    <r>
      <rPr>
        <sz val="11"/>
        <color theme="1"/>
        <rFont val="Calibri"/>
        <family val="2"/>
        <scheme val="minor"/>
      </rPr>
      <t xml:space="preserve"> =</t>
    </r>
  </si>
  <si>
    <r>
      <t>N</t>
    </r>
    <r>
      <rPr>
        <sz val="8"/>
        <color theme="1"/>
        <rFont val="Calibri"/>
        <family val="2"/>
        <scheme val="minor"/>
      </rPr>
      <t>Rd,4</t>
    </r>
    <r>
      <rPr>
        <sz val="11"/>
        <color theme="1"/>
        <rFont val="Calibri"/>
        <family val="2"/>
        <scheme val="minor"/>
      </rPr>
      <t xml:space="preserve"> =</t>
    </r>
  </si>
  <si>
    <r>
      <t>N</t>
    </r>
    <r>
      <rPr>
        <sz val="8"/>
        <color theme="1"/>
        <rFont val="Calibri"/>
        <family val="2"/>
        <scheme val="minor"/>
      </rPr>
      <t>Rd,5</t>
    </r>
    <r>
      <rPr>
        <sz val="11"/>
        <color theme="1"/>
        <rFont val="Calibri"/>
        <family val="2"/>
        <scheme val="minor"/>
      </rPr>
      <t xml:space="preserve"> =</t>
    </r>
  </si>
  <si>
    <t>Pression diamétrale dans le gousset</t>
  </si>
  <si>
    <r>
      <t>N</t>
    </r>
    <r>
      <rPr>
        <sz val="8"/>
        <color theme="1"/>
        <rFont val="Calibri"/>
        <family val="2"/>
        <scheme val="minor"/>
      </rPr>
      <t>Rd,6</t>
    </r>
    <r>
      <rPr>
        <sz val="11"/>
        <color theme="1"/>
        <rFont val="Calibri"/>
        <family val="2"/>
        <scheme val="minor"/>
      </rPr>
      <t xml:space="preserve"> =</t>
    </r>
  </si>
  <si>
    <t>Section brute du gousset</t>
  </si>
  <si>
    <r>
      <t>N</t>
    </r>
    <r>
      <rPr>
        <sz val="8"/>
        <color theme="1"/>
        <rFont val="Calibri"/>
        <family val="2"/>
        <scheme val="minor"/>
      </rPr>
      <t>Rd,7</t>
    </r>
    <r>
      <rPr>
        <sz val="11"/>
        <color theme="1"/>
        <rFont val="Calibri"/>
        <family val="2"/>
        <scheme val="minor"/>
      </rPr>
      <t xml:space="preserve"> =</t>
    </r>
  </si>
  <si>
    <t>Section nette du gousset</t>
  </si>
  <si>
    <r>
      <t>N</t>
    </r>
    <r>
      <rPr>
        <sz val="8"/>
        <color theme="1"/>
        <rFont val="Calibri"/>
        <family val="2"/>
        <scheme val="minor"/>
      </rPr>
      <t>Rd,8</t>
    </r>
    <r>
      <rPr>
        <sz val="11"/>
        <color theme="1"/>
        <rFont val="Calibri"/>
        <family val="2"/>
        <scheme val="minor"/>
      </rPr>
      <t xml:space="preserve"> =</t>
    </r>
  </si>
  <si>
    <t>Cisaillement de bloc du gousset</t>
  </si>
  <si>
    <t>Hypothèse : Le gousset fait au moins la largeur de la cornière.</t>
  </si>
  <si>
    <t>Perssion diamétrale dans la cornière</t>
  </si>
  <si>
    <r>
      <t>t</t>
    </r>
    <r>
      <rPr>
        <sz val="8"/>
        <color theme="1"/>
        <rFont val="Calibri"/>
        <family val="2"/>
        <scheme val="minor"/>
      </rPr>
      <t>gousset</t>
    </r>
    <r>
      <rPr>
        <sz val="11"/>
        <color theme="1"/>
        <rFont val="Calibri"/>
        <family val="2"/>
        <scheme val="minor"/>
      </rPr>
      <t xml:space="preserve"> =</t>
    </r>
  </si>
  <si>
    <t>X</t>
  </si>
  <si>
    <t>Goussets</t>
  </si>
  <si>
    <t>Symétrique</t>
  </si>
  <si>
    <t>Non symétrique</t>
  </si>
  <si>
    <t>Type de gousset :</t>
  </si>
  <si>
    <t>lg =</t>
  </si>
  <si>
    <r>
      <t>Calcul de N</t>
    </r>
    <r>
      <rPr>
        <sz val="10"/>
        <color theme="1"/>
        <rFont val="Calibri"/>
        <family val="2"/>
        <scheme val="minor"/>
      </rPr>
      <t>Rd,5</t>
    </r>
  </si>
  <si>
    <t>Hypothèse : La pince e1 de la cornière est également au moins présente sur le gousset</t>
  </si>
  <si>
    <r>
      <t>l</t>
    </r>
    <r>
      <rPr>
        <sz val="8"/>
        <color theme="1"/>
        <rFont val="Calibri"/>
        <family val="2"/>
        <scheme val="minor"/>
      </rPr>
      <t>tot</t>
    </r>
    <r>
      <rPr>
        <sz val="11"/>
        <color theme="1"/>
        <rFont val="Calibri"/>
        <family val="2"/>
        <scheme val="minor"/>
      </rPr>
      <t xml:space="preserve"> =</t>
    </r>
  </si>
  <si>
    <t>Rupture en section nette dans la cornière</t>
  </si>
  <si>
    <t>Cisaillement de bloc dans la cornière</t>
  </si>
  <si>
    <t>Pression diamétrale dans la cornière</t>
  </si>
  <si>
    <t>A</t>
  </si>
  <si>
    <t>V. Bourgeois</t>
  </si>
  <si>
    <t>Première diffusion</t>
  </si>
  <si>
    <t>Effort NEd =</t>
  </si>
  <si>
    <t>La feuille vérifie la résistance d'un assemblage de cornière tendue boulonnée par une aile.</t>
  </si>
  <si>
    <t>Limites</t>
  </si>
  <si>
    <t>- 2 boulons minimum</t>
  </si>
  <si>
    <t>- 5 boulons maximum</t>
  </si>
  <si>
    <t>- La feuille ne vérifie que les assemblages d'éléments tendus (pas de compression)</t>
  </si>
  <si>
    <t>Il est pris en compte pour le calcul l'excentrement entre l'axe neutre de la section et l'axe de boulonnage.</t>
  </si>
  <si>
    <t>- Section personnalisée : Choisir la section "Personnalisé" dans la feuille de calcul et compléter les cellules N19 à N22.</t>
  </si>
  <si>
    <t>- Nuance personnalisée pour les sections : Choisir la nuance "Personnalisée" en C28 dans la feuille de calcul et compléter les cellules N29 et N30.</t>
  </si>
  <si>
    <t>- Nuance personnalisée pour le gousset : Choisir la nuance "Personnalisée" en C46 dans la feuille de calcul et compléter les cellules N49 et N50.</t>
  </si>
  <si>
    <t>Suivi et descriptions générales</t>
  </si>
  <si>
    <t>Pour :</t>
  </si>
  <si>
    <t>Contact</t>
  </si>
  <si>
    <t>victor_bourgeois@orange.fr</t>
  </si>
  <si>
    <r>
      <t>Calcul de N</t>
    </r>
    <r>
      <rPr>
        <sz val="10"/>
        <color theme="1"/>
        <rFont val="Calibri"/>
        <family val="2"/>
        <scheme val="minor"/>
      </rPr>
      <t>Rd,8</t>
    </r>
  </si>
  <si>
    <t>Détails des vérifications</t>
  </si>
  <si>
    <t>L'intensité n'est là que pour offrir des taux de travail et pour des simplifications de calcul interne. La valeur entrée doit être strictement positive</t>
  </si>
  <si>
    <t>Perssion diamétrale dans le gousset</t>
  </si>
  <si>
    <t>Nota : la vérification du gousset dépend de la vérification de la cornière ci-dessus. Il faut donc veiller à compléter la partie "Cornière"</t>
  </si>
  <si>
    <t>Licence MIT</t>
  </si>
  <si>
    <t>Copyright © 2022 Bourgeois Victor</t>
  </si>
  <si>
    <t>The above copyright notice and this permission notice shall be included in all copies or substantial portions of the Software.</t>
  </si>
  <si>
    <t xml:space="preserve">Permission is hereby granted, free of charge, to any person obtaining a copy of this software and associated documentation files (the “Software”), </t>
  </si>
  <si>
    <t xml:space="preserve">to deal in the Software without restriction, including without limitation the rights to use, copy, modify, merge, publish, distribute, sublicense, </t>
  </si>
  <si>
    <t>and/or sell copies of the Software, and to permit persons to whom the Software is furnished to do so, subject to the following conditions:</t>
  </si>
  <si>
    <t xml:space="preserve">THE SOFTWARE IS PROVIDED “AS IS”, WITHOUT WARRANTY OF ANY KIND, EXPRESS OR IMPLIED, INCLUDING BUT NOT LIMITED TO THE WARRANTIES OF MERCHANTABILITY, </t>
  </si>
  <si>
    <t>FITNESS FOR A PARTICULAR PURPOSE AND NONINFRINGEMENT. IN NO EVENT SHALL THE AUTHORS OR COPYRIGHT HOLDERS BE LIABLE FOR ANY CLAIM, DAMAGES OR OTHER LIABILITY, OF OR IN CONNECTION WITH THE SOFTWARE OR THE USE OR OTHER DEALINGS IN THE SOFTWARE.</t>
  </si>
  <si>
    <t>WHETHER IN AN ACTION OF CONTRACT, TORT OR OTHERWISE, ARISING FROM, OUT OF OR IN CONNECTION WITH THE SOFTWARE OR THE USE OR OTHER DEALINGS IN THE SOFTWARE.</t>
  </si>
  <si>
    <t>4.8</t>
  </si>
  <si>
    <t>4.6</t>
  </si>
  <si>
    <t>5.6</t>
  </si>
  <si>
    <t>5.8</t>
  </si>
  <si>
    <t>6.8</t>
  </si>
  <si>
    <t>8.8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</si>
</sst>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x14ac:knownFonts="1">
    <font>
      <sz val="11"/>
      <color theme="1"/>
      <name val="Calibri"/>
      <family val="2"/>
      <scheme val="minor"/>
    </font>
    <font>
      <b/>
      <sz val="11"/>
      <color theme="1"/>
      <name val="Calibri"/>
      <family val="2"/>
      <scheme val="minor"/>
    </font>
    <font>
      <sz val="11"/>
      <color rgb="FF3F3F76"/>
      <name val="Calibri"/>
      <family val="2"/>
      <scheme val="minor"/>
    </font>
    <font>
      <sz val="8"/>
      <color theme="1"/>
      <name val="Calibri"/>
      <family val="2"/>
      <scheme val="minor"/>
    </font>
    <font>
      <sz val="10"/>
      <color theme="1"/>
      <name val="Calibri"/>
      <family val="2"/>
      <scheme val="minor"/>
    </font>
    <font>
      <b/>
      <sz val="14"/>
      <color theme="1"/>
      <name val="Calibri"/>
      <family val="2"/>
      <scheme val="minor"/>
    </font>
    <font>
      <sz val="14"/>
      <color rgb="FF3F3F76"/>
      <name val="Calibri"/>
      <family val="2"/>
      <scheme val="minor"/>
    </font>
    <font>
      <sz val="14"/>
      <color theme="1"/>
      <name val="Calibri"/>
      <family val="2"/>
      <scheme val="minor"/>
    </font>
    <font>
      <sz val="16"/>
      <color theme="1"/>
      <name val="Calibri"/>
      <family val="2"/>
      <scheme val="minor"/>
    </font>
    <font>
      <u/>
      <sz val="11"/>
      <color theme="1"/>
      <name val="Calibri"/>
      <family val="2"/>
      <scheme val="minor"/>
    </font>
    <font>
      <b/>
      <sz val="11"/>
      <color rgb="FF3F3F3F"/>
      <name val="Calibri"/>
      <family val="2"/>
      <scheme val="minor"/>
    </font>
    <font>
      <sz val="11"/>
      <color theme="1"/>
      <name val="Calibri"/>
      <family val="2"/>
    </font>
    <font>
      <sz val="9.35"/>
      <color theme="1"/>
      <name val="Calibri"/>
      <family val="2"/>
    </font>
    <font>
      <i/>
      <sz val="11"/>
      <color theme="1"/>
      <name val="Calibri"/>
      <family val="2"/>
      <scheme val="minor"/>
    </font>
    <font>
      <b/>
      <sz val="14"/>
      <color rgb="FF3F3F3F"/>
      <name val="Calibri"/>
      <family val="2"/>
      <scheme val="minor"/>
    </font>
    <font>
      <u/>
      <sz val="11"/>
      <color theme="10"/>
      <name val="Calibri"/>
      <family val="2"/>
      <scheme val="minor"/>
    </font>
    <font>
      <i/>
      <sz val="11"/>
      <color rgb="FF7F7F7F"/>
      <name val="Calibri"/>
      <family val="2"/>
      <scheme val="minor"/>
    </font>
  </fonts>
  <fills count="4">
    <fill>
      <patternFill patternType="none"/>
    </fill>
    <fill>
      <patternFill patternType="gray125"/>
    </fill>
    <fill>
      <patternFill patternType="solid">
        <fgColor rgb="FFFFCC99"/>
      </patternFill>
    </fill>
    <fill>
      <patternFill patternType="solid">
        <fgColor rgb="FFF2F2F2"/>
      </patternFill>
    </fill>
  </fills>
  <borders count="36">
    <border>
      <left/>
      <right/>
      <top/>
      <bottom/>
      <diagonal/>
    </border>
    <border>
      <left style="thin">
        <color rgb="FF7F7F7F"/>
      </left>
      <right style="thin">
        <color rgb="FF7F7F7F"/>
      </right>
      <top style="thin">
        <color rgb="FF7F7F7F"/>
      </top>
      <bottom style="thin">
        <color rgb="FF7F7F7F"/>
      </bottom>
      <diagonal/>
    </border>
    <border>
      <left style="thin">
        <color indexed="64"/>
      </left>
      <right style="thin">
        <color indexed="64"/>
      </right>
      <top style="thin">
        <color indexed="64"/>
      </top>
      <bottom style="thin">
        <color indexed="64"/>
      </bottom>
      <diagonal/>
    </border>
    <border>
      <left style="thin">
        <color rgb="FF7F7F7F"/>
      </left>
      <right/>
      <top style="thin">
        <color rgb="FF7F7F7F"/>
      </top>
      <bottom style="thin">
        <color rgb="FF7F7F7F"/>
      </bottom>
      <diagonal/>
    </border>
    <border>
      <left/>
      <right style="thin">
        <color rgb="FF7F7F7F"/>
      </right>
      <top style="thin">
        <color rgb="FF7F7F7F"/>
      </top>
      <bottom style="thin">
        <color rgb="FF7F7F7F"/>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style="thin">
        <color indexed="64"/>
      </bottom>
      <diagonal/>
    </border>
    <border>
      <left style="thin">
        <color rgb="FF3F3F3F"/>
      </left>
      <right style="thin">
        <color rgb="FF3F3F3F"/>
      </right>
      <top style="thin">
        <color rgb="FF3F3F3F"/>
      </top>
      <bottom style="thin">
        <color rgb="FF3F3F3F"/>
      </bottom>
      <diagonal/>
    </border>
    <border>
      <left style="thin">
        <color indexed="64"/>
      </left>
      <right/>
      <top style="thin">
        <color indexed="64"/>
      </top>
      <bottom/>
      <diagonal/>
    </border>
    <border>
      <left style="double">
        <color auto="1"/>
      </left>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s>
  <cellStyleXfs count="5">
    <xf numFmtId="0" fontId="0" fillId="0" borderId="0"/>
    <xf numFmtId="0" fontId="2" fillId="2" borderId="1" applyNumberFormat="0" applyAlignment="0" applyProtection="0"/>
    <xf numFmtId="0" fontId="10" fillId="3" borderId="15" applyNumberFormat="0" applyAlignment="0" applyProtection="0"/>
    <xf numFmtId="0" fontId="15" fillId="0" borderId="0" applyNumberFormat="0" applyFill="0" applyBorder="0" applyAlignment="0" applyProtection="0"/>
    <xf numFmtId="0" fontId="16" fillId="0" borderId="0" applyNumberFormat="0" applyFill="0" applyBorder="0" applyAlignment="0" applyProtection="0"/>
  </cellStyleXfs>
  <cellXfs count="88">
    <xf numFmtId="0" fontId="0" fillId="0" borderId="0" xfId="0"/>
    <xf numFmtId="0" fontId="0" fillId="0" borderId="0" xfId="0" quotePrefix="1"/>
    <xf numFmtId="0" fontId="2" fillId="2" borderId="1" xfId="1"/>
    <xf numFmtId="0" fontId="1" fillId="0" borderId="0" xfId="0" applyFont="1"/>
    <xf numFmtId="0" fontId="0" fillId="0" borderId="0" xfId="0" applyAlignment="1">
      <alignment horizontal="right"/>
    </xf>
    <xf numFmtId="0" fontId="0" fillId="0" borderId="2" xfId="0" applyBorder="1"/>
    <xf numFmtId="3" fontId="0" fillId="0" borderId="0" xfId="0" applyNumberFormat="1"/>
    <xf numFmtId="0" fontId="5" fillId="0" borderId="0" xfId="0" applyFont="1" applyAlignment="1">
      <alignment horizontal="right"/>
    </xf>
    <xf numFmtId="0" fontId="7" fillId="0" borderId="0" xfId="0" applyFont="1"/>
    <xf numFmtId="0" fontId="0" fillId="0" borderId="7" xfId="0" applyBorder="1"/>
    <xf numFmtId="0" fontId="0" fillId="0" borderId="8" xfId="0" applyBorder="1"/>
    <xf numFmtId="0" fontId="0" fillId="0" borderId="9" xfId="0" applyBorder="1"/>
    <xf numFmtId="0" fontId="0" fillId="0" borderId="10" xfId="0" applyBorder="1"/>
    <xf numFmtId="0" fontId="0" fillId="0" borderId="11" xfId="0" applyBorder="1"/>
    <xf numFmtId="0" fontId="0" fillId="0" borderId="12" xfId="0" applyBorder="1"/>
    <xf numFmtId="0" fontId="0" fillId="0" borderId="13" xfId="0" applyBorder="1"/>
    <xf numFmtId="2" fontId="0" fillId="0" borderId="0" xfId="0" applyNumberFormat="1" applyAlignment="1">
      <alignment horizontal="right"/>
    </xf>
    <xf numFmtId="0" fontId="11" fillId="0" borderId="0" xfId="0" applyFont="1"/>
    <xf numFmtId="2" fontId="0" fillId="0" borderId="0" xfId="0" applyNumberFormat="1"/>
    <xf numFmtId="0" fontId="9" fillId="0" borderId="9" xfId="0" applyFont="1" applyBorder="1"/>
    <xf numFmtId="1" fontId="0" fillId="0" borderId="0" xfId="0" applyNumberFormat="1"/>
    <xf numFmtId="0" fontId="13" fillId="0" borderId="0" xfId="0" applyFont="1" applyAlignment="1">
      <alignment horizontal="right"/>
    </xf>
    <xf numFmtId="0" fontId="13" fillId="0" borderId="12" xfId="0" applyFont="1" applyBorder="1" applyAlignment="1">
      <alignment horizontal="right"/>
    </xf>
    <xf numFmtId="2" fontId="0" fillId="0" borderId="12" xfId="0" applyNumberFormat="1" applyBorder="1"/>
    <xf numFmtId="0" fontId="3" fillId="0" borderId="0" xfId="0" applyFont="1"/>
    <xf numFmtId="0" fontId="2" fillId="2" borderId="1" xfId="1" applyAlignment="1">
      <alignment horizontal="right"/>
    </xf>
    <xf numFmtId="0" fontId="0" fillId="0" borderId="16" xfId="0" applyBorder="1"/>
    <xf numFmtId="2" fontId="0" fillId="0" borderId="10" xfId="0" applyNumberFormat="1" applyBorder="1"/>
    <xf numFmtId="1" fontId="0" fillId="0" borderId="10" xfId="0" applyNumberFormat="1" applyBorder="1"/>
    <xf numFmtId="0" fontId="0" fillId="0" borderId="12" xfId="0" applyBorder="1" applyAlignment="1">
      <alignment horizontal="right"/>
    </xf>
    <xf numFmtId="0" fontId="0" fillId="0" borderId="17" xfId="0" applyBorder="1"/>
    <xf numFmtId="0" fontId="0" fillId="0" borderId="2" xfId="0" applyBorder="1" applyAlignment="1">
      <alignment horizontal="right"/>
    </xf>
    <xf numFmtId="0" fontId="0" fillId="0" borderId="0" xfId="0" applyAlignment="1">
      <alignment wrapText="1"/>
    </xf>
    <xf numFmtId="0" fontId="9" fillId="0" borderId="0" xfId="0" applyFont="1"/>
    <xf numFmtId="0" fontId="0" fillId="0" borderId="18" xfId="0" applyBorder="1"/>
    <xf numFmtId="0" fontId="0" fillId="0" borderId="19" xfId="0" applyBorder="1"/>
    <xf numFmtId="14" fontId="0" fillId="0" borderId="20" xfId="0" applyNumberFormat="1" applyBorder="1"/>
    <xf numFmtId="0" fontId="0" fillId="0" borderId="20" xfId="0" applyBorder="1"/>
    <xf numFmtId="0" fontId="0" fillId="0" borderId="21" xfId="0" applyBorder="1"/>
    <xf numFmtId="0" fontId="0" fillId="0" borderId="22" xfId="0" applyBorder="1"/>
    <xf numFmtId="0" fontId="9" fillId="0" borderId="0" xfId="0" applyFont="1" applyAlignment="1">
      <alignment horizontal="left"/>
    </xf>
    <xf numFmtId="0" fontId="15" fillId="0" borderId="2" xfId="3" applyBorder="1"/>
    <xf numFmtId="0" fontId="1" fillId="0" borderId="27" xfId="0" applyFont="1" applyBorder="1" applyAlignment="1">
      <alignment horizontal="center" vertical="center"/>
    </xf>
    <xf numFmtId="0" fontId="1" fillId="0" borderId="28" xfId="0" applyFont="1" applyBorder="1" applyAlignment="1">
      <alignment horizontal="center" vertical="center"/>
    </xf>
    <xf numFmtId="0" fontId="1" fillId="0" borderId="29" xfId="0" applyFont="1" applyBorder="1" applyAlignment="1">
      <alignment horizontal="center" vertical="center"/>
    </xf>
    <xf numFmtId="0" fontId="1" fillId="0" borderId="30" xfId="0" applyFont="1" applyBorder="1" applyAlignment="1">
      <alignment horizontal="center" vertical="center"/>
    </xf>
    <xf numFmtId="0" fontId="1" fillId="0" borderId="31" xfId="0" applyFont="1" applyBorder="1" applyAlignment="1">
      <alignment horizontal="center" vertical="center"/>
    </xf>
    <xf numFmtId="0" fontId="1" fillId="0" borderId="32" xfId="0" applyFont="1" applyBorder="1" applyAlignment="1">
      <alignment horizontal="center" vertical="center"/>
    </xf>
    <xf numFmtId="0" fontId="0" fillId="0" borderId="5" xfId="0" applyBorder="1"/>
    <xf numFmtId="0" fontId="0" fillId="0" borderId="14" xfId="0" applyBorder="1"/>
    <xf numFmtId="0" fontId="0" fillId="0" borderId="26" xfId="0" applyBorder="1"/>
    <xf numFmtId="0" fontId="0" fillId="0" borderId="23" xfId="0" applyBorder="1"/>
    <xf numFmtId="0" fontId="0" fillId="0" borderId="24" xfId="0" applyBorder="1"/>
    <xf numFmtId="0" fontId="0" fillId="0" borderId="25" xfId="0" applyBorder="1"/>
    <xf numFmtId="0" fontId="0" fillId="0" borderId="33" xfId="0" applyBorder="1" applyAlignment="1">
      <alignment horizontal="left"/>
    </xf>
    <xf numFmtId="0" fontId="0" fillId="0" borderId="34" xfId="0" applyBorder="1" applyAlignment="1">
      <alignment horizontal="left"/>
    </xf>
    <xf numFmtId="0" fontId="0" fillId="0" borderId="35" xfId="0" applyBorder="1" applyAlignment="1">
      <alignment horizontal="left"/>
    </xf>
    <xf numFmtId="0" fontId="0" fillId="0" borderId="5" xfId="0" applyBorder="1" applyAlignment="1">
      <alignment horizontal="left"/>
    </xf>
    <xf numFmtId="0" fontId="0" fillId="0" borderId="14" xfId="0" applyBorder="1" applyAlignment="1">
      <alignment horizontal="left"/>
    </xf>
    <xf numFmtId="0" fontId="0" fillId="0" borderId="26" xfId="0" applyBorder="1" applyAlignment="1">
      <alignment horizontal="left"/>
    </xf>
    <xf numFmtId="0" fontId="5" fillId="0" borderId="0" xfId="0" applyFont="1" applyAlignment="1">
      <alignment horizontal="right"/>
    </xf>
    <xf numFmtId="3" fontId="14" fillId="3" borderId="15" xfId="2" applyNumberFormat="1" applyFont="1" applyAlignment="1">
      <alignment horizontal="center"/>
    </xf>
    <xf numFmtId="0" fontId="1" fillId="0" borderId="16" xfId="0" applyFont="1" applyBorder="1" applyAlignment="1">
      <alignment horizontal="center" vertical="center"/>
    </xf>
    <xf numFmtId="0" fontId="1" fillId="0" borderId="7" xfId="0" applyFont="1" applyBorder="1" applyAlignment="1">
      <alignment horizontal="center" vertical="center"/>
    </xf>
    <xf numFmtId="0" fontId="1" fillId="0" borderId="8" xfId="0" applyFont="1" applyBorder="1" applyAlignment="1">
      <alignment horizontal="center" vertical="center"/>
    </xf>
    <xf numFmtId="0" fontId="1" fillId="0" borderId="11" xfId="0" applyFont="1" applyBorder="1" applyAlignment="1">
      <alignment horizontal="center" vertical="center"/>
    </xf>
    <xf numFmtId="0" fontId="1" fillId="0" borderId="12" xfId="0" applyFont="1" applyBorder="1" applyAlignment="1">
      <alignment horizontal="center" vertical="center"/>
    </xf>
    <xf numFmtId="0" fontId="1" fillId="0" borderId="13" xfId="0" applyFont="1" applyBorder="1" applyAlignment="1">
      <alignment horizontal="center" vertical="center"/>
    </xf>
    <xf numFmtId="0" fontId="2" fillId="2" borderId="1" xfId="1" applyAlignment="1">
      <alignment horizontal="center"/>
    </xf>
    <xf numFmtId="0" fontId="8" fillId="0" borderId="5" xfId="0" applyFont="1" applyBorder="1" applyAlignment="1">
      <alignment horizontal="center"/>
    </xf>
    <xf numFmtId="0" fontId="8" fillId="0" borderId="14" xfId="0" applyFont="1" applyBorder="1" applyAlignment="1">
      <alignment horizontal="center"/>
    </xf>
    <xf numFmtId="0" fontId="8" fillId="0" borderId="6" xfId="0" applyFont="1" applyBorder="1" applyAlignment="1">
      <alignment horizontal="center"/>
    </xf>
    <xf numFmtId="0" fontId="2" fillId="2" borderId="3" xfId="1" applyBorder="1" applyAlignment="1">
      <alignment horizontal="center"/>
    </xf>
    <xf numFmtId="0" fontId="2" fillId="2" borderId="4" xfId="1" applyBorder="1" applyAlignment="1">
      <alignment horizontal="center"/>
    </xf>
    <xf numFmtId="0" fontId="16" fillId="0" borderId="16" xfId="4" applyBorder="1" applyAlignment="1">
      <alignment horizontal="left" wrapText="1"/>
    </xf>
    <xf numFmtId="0" fontId="16" fillId="0" borderId="7" xfId="4" applyBorder="1" applyAlignment="1">
      <alignment horizontal="left" wrapText="1"/>
    </xf>
    <xf numFmtId="0" fontId="16" fillId="0" borderId="8" xfId="4" applyBorder="1" applyAlignment="1">
      <alignment horizontal="left" wrapText="1"/>
    </xf>
    <xf numFmtId="0" fontId="16" fillId="0" borderId="9" xfId="4" applyBorder="1" applyAlignment="1">
      <alignment horizontal="left" wrapText="1"/>
    </xf>
    <xf numFmtId="0" fontId="16" fillId="0" borderId="0" xfId="4" applyBorder="1" applyAlignment="1">
      <alignment horizontal="left" wrapText="1"/>
    </xf>
    <xf numFmtId="0" fontId="16" fillId="0" borderId="10" xfId="4" applyBorder="1" applyAlignment="1">
      <alignment horizontal="left" wrapText="1"/>
    </xf>
    <xf numFmtId="0" fontId="16" fillId="0" borderId="11" xfId="4" applyBorder="1" applyAlignment="1">
      <alignment horizontal="left" wrapText="1"/>
    </xf>
    <xf numFmtId="0" fontId="16" fillId="0" borderId="12" xfId="4" applyBorder="1" applyAlignment="1">
      <alignment horizontal="left" wrapText="1"/>
    </xf>
    <xf numFmtId="0" fontId="16" fillId="0" borderId="13" xfId="4" applyBorder="1" applyAlignment="1">
      <alignment horizontal="left" wrapText="1"/>
    </xf>
    <xf numFmtId="3" fontId="6" fillId="2" borderId="3" xfId="1" applyNumberFormat="1" applyFont="1" applyBorder="1" applyAlignment="1">
      <alignment horizontal="center"/>
    </xf>
    <xf numFmtId="3" fontId="6" fillId="2" borderId="4" xfId="1" applyNumberFormat="1" applyFont="1" applyBorder="1" applyAlignment="1">
      <alignment horizontal="center"/>
    </xf>
    <xf numFmtId="0" fontId="16" fillId="0" borderId="5" xfId="4" applyBorder="1" applyAlignment="1">
      <alignment horizontal="left"/>
    </xf>
    <xf numFmtId="0" fontId="16" fillId="0" borderId="14" xfId="4" applyBorder="1" applyAlignment="1">
      <alignment horizontal="left"/>
    </xf>
    <xf numFmtId="0" fontId="16" fillId="0" borderId="6" xfId="4" applyBorder="1" applyAlignment="1">
      <alignment horizontal="left"/>
    </xf>
  </cellXfs>
  <cellStyles count="5">
    <cellStyle name="Entrée" xfId="1" builtinId="20"/>
    <cellStyle name="Lien hypertexte" xfId="3" builtinId="8"/>
    <cellStyle name="Normal" xfId="0" builtinId="0"/>
    <cellStyle name="Sortie" xfId="2" builtinId="21"/>
    <cellStyle name="Texte explicatif" xfId="4" builtinId="53"/>
  </cellStyles>
  <dxfs count="8">
    <dxf>
      <font>
        <color rgb="FF3F3F76"/>
      </font>
      <fill>
        <patternFill>
          <bgColor rgb="FFFFCC99"/>
        </patternFill>
      </fill>
      <border>
        <left style="thin">
          <color rgb="FF7F7F7F"/>
        </left>
        <right style="thin">
          <color rgb="FF7F7F7F"/>
        </right>
        <top style="thin">
          <color rgb="FF7F7F7F"/>
        </top>
        <bottom style="thin">
          <color rgb="FF7F7F7F"/>
        </bottom>
        <vertical/>
        <horizontal/>
      </border>
    </dxf>
    <dxf>
      <font>
        <color auto="1"/>
      </font>
      <fill>
        <patternFill patternType="lightUp">
          <bgColor theme="2" tint="-0.24994659260841701"/>
        </patternFill>
      </fill>
    </dxf>
    <dxf>
      <font>
        <color rgb="FF9C0006"/>
      </font>
      <fill>
        <patternFill>
          <bgColor rgb="FFFFC7CE"/>
        </patternFill>
      </fill>
    </dxf>
    <dxf>
      <font>
        <color rgb="FF006100"/>
      </font>
      <fill>
        <patternFill>
          <bgColor rgb="FFC6EFCE"/>
        </patternFill>
      </fill>
    </dxf>
    <dxf>
      <font>
        <color rgb="FF3F3F76"/>
      </font>
      <fill>
        <patternFill>
          <bgColor rgb="FFFFCC99"/>
        </patternFill>
      </fill>
      <border>
        <left style="thin">
          <color rgb="FF7F7F7F"/>
        </left>
        <right style="thin">
          <color rgb="FF7F7F7F"/>
        </right>
        <top style="thin">
          <color rgb="FF7F7F7F"/>
        </top>
        <bottom style="thin">
          <color rgb="FF7F7F7F"/>
        </bottom>
        <vertical/>
        <horizontal/>
      </border>
    </dxf>
    <dxf>
      <fill>
        <patternFill patternType="lightUp">
          <bgColor rgb="FFAEAAAA"/>
        </patternFill>
      </fill>
    </dxf>
    <dxf>
      <font>
        <color rgb="FF3F3F76"/>
      </font>
      <fill>
        <patternFill>
          <bgColor rgb="FFFFCC99"/>
        </patternFill>
      </fill>
      <border>
        <left style="thin">
          <color rgb="FF7F7F7F"/>
        </left>
        <right style="thin">
          <color rgb="FF7F7F7F"/>
        </right>
        <top style="thin">
          <color rgb="FF7F7F7F"/>
        </top>
        <bottom style="thin">
          <color rgb="FF7F7F7F"/>
        </bottom>
        <vertical/>
        <horizontal/>
      </border>
    </dxf>
    <dxf>
      <font>
        <color auto="1"/>
      </font>
      <fill>
        <patternFill patternType="lightUp">
          <bgColor theme="2" tint="-0.24994659260841701"/>
        </patternFill>
      </fill>
    </dxf>
  </dxfs>
  <tableStyles count="0" defaultTableStyle="TableStyleMedium2" defaultPivotStyle="PivotStyleLight16"/>
  <colors>
    <mruColors>
      <color rgb="FFAEAAAA"/>
      <color rgb="FF3F3F76"/>
      <color rgb="FF7F7F7F"/>
      <color rgb="FFFFCC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2.xml"/><Relationship Id="rId11" Type="http://schemas.microsoft.com/office/2006/relationships/vbaProject" Target="vbaProject.bin"/><Relationship Id="rId5" Type="http://schemas.openxmlformats.org/officeDocument/2006/relationships/externalLink" Target="externalLinks/externalLink1.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1</xdr:col>
      <xdr:colOff>306456</xdr:colOff>
      <xdr:row>9</xdr:row>
      <xdr:rowOff>8305</xdr:rowOff>
    </xdr:from>
    <xdr:to>
      <xdr:col>7</xdr:col>
      <xdr:colOff>281609</xdr:colOff>
      <xdr:row>14</xdr:row>
      <xdr:rowOff>5293</xdr:rowOff>
    </xdr:to>
    <xdr:pic>
      <xdr:nvPicPr>
        <xdr:cNvPr id="12" name="pic-2bls">
          <a:extLst>
            <a:ext uri="{FF2B5EF4-FFF2-40B4-BE49-F238E27FC236}">
              <a16:creationId xmlns:a16="http://schemas.microsoft.com/office/drawing/2014/main" id="{3CB93A53-FA18-4765-BD48-8E1DF95E14FD}"/>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8726" t="26723" r="1524" b="37904"/>
        <a:stretch/>
      </xdr:blipFill>
      <xdr:spPr>
        <a:xfrm>
          <a:off x="455543" y="1722805"/>
          <a:ext cx="3677479" cy="1018761"/>
        </a:xfrm>
        <a:prstGeom prst="rect">
          <a:avLst/>
        </a:prstGeom>
      </xdr:spPr>
    </xdr:pic>
    <xdr:clientData/>
  </xdr:twoCellAnchor>
  <xdr:twoCellAnchor editAs="oneCell">
    <xdr:from>
      <xdr:col>1</xdr:col>
      <xdr:colOff>331310</xdr:colOff>
      <xdr:row>9</xdr:row>
      <xdr:rowOff>24868</xdr:rowOff>
    </xdr:from>
    <xdr:to>
      <xdr:col>7</xdr:col>
      <xdr:colOff>306457</xdr:colOff>
      <xdr:row>13</xdr:row>
      <xdr:rowOff>240216</xdr:rowOff>
    </xdr:to>
    <xdr:pic>
      <xdr:nvPicPr>
        <xdr:cNvPr id="14" name="pic-3bls" hidden="1">
          <a:extLst>
            <a:ext uri="{FF2B5EF4-FFF2-40B4-BE49-F238E27FC236}">
              <a16:creationId xmlns:a16="http://schemas.microsoft.com/office/drawing/2014/main" id="{B405FB80-2EB3-4B34-9533-6CD2503D1A2E}"/>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9286" t="27289" r="988" b="38775"/>
        <a:stretch/>
      </xdr:blipFill>
      <xdr:spPr>
        <a:xfrm>
          <a:off x="480397" y="1739368"/>
          <a:ext cx="3677473" cy="977348"/>
        </a:xfrm>
        <a:prstGeom prst="rect">
          <a:avLst/>
        </a:prstGeom>
      </xdr:spPr>
    </xdr:pic>
    <xdr:clientData/>
  </xdr:twoCellAnchor>
  <xdr:twoCellAnchor editAs="oneCell">
    <xdr:from>
      <xdr:col>1</xdr:col>
      <xdr:colOff>324966</xdr:colOff>
      <xdr:row>9</xdr:row>
      <xdr:rowOff>30428</xdr:rowOff>
    </xdr:from>
    <xdr:to>
      <xdr:col>7</xdr:col>
      <xdr:colOff>313765</xdr:colOff>
      <xdr:row>13</xdr:row>
      <xdr:rowOff>246523</xdr:rowOff>
    </xdr:to>
    <xdr:pic>
      <xdr:nvPicPr>
        <xdr:cNvPr id="3" name="pic-4bls" hidden="1">
          <a:extLst>
            <a:ext uri="{FF2B5EF4-FFF2-40B4-BE49-F238E27FC236}">
              <a16:creationId xmlns:a16="http://schemas.microsoft.com/office/drawing/2014/main" id="{6C1B8B8C-83D0-40C7-BB1B-3CF32588C04E}"/>
            </a:ext>
          </a:extLst>
        </xdr:cNvPr>
        <xdr:cNvPicPr>
          <a:picLocks noChangeAspect="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l="1385" t="38583" r="9228" b="27546"/>
        <a:stretch/>
      </xdr:blipFill>
      <xdr:spPr>
        <a:xfrm rot="10800000">
          <a:off x="481848" y="1744928"/>
          <a:ext cx="3653123" cy="978095"/>
        </a:xfrm>
        <a:prstGeom prst="rect">
          <a:avLst/>
        </a:prstGeom>
      </xdr:spPr>
    </xdr:pic>
    <xdr:clientData/>
  </xdr:twoCellAnchor>
  <xdr:twoCellAnchor editAs="oneCell">
    <xdr:from>
      <xdr:col>5</xdr:col>
      <xdr:colOff>304673</xdr:colOff>
      <xdr:row>17</xdr:row>
      <xdr:rowOff>164316</xdr:rowOff>
    </xdr:from>
    <xdr:to>
      <xdr:col>9</xdr:col>
      <xdr:colOff>347381</xdr:colOff>
      <xdr:row>29</xdr:row>
      <xdr:rowOff>156882</xdr:rowOff>
    </xdr:to>
    <xdr:pic>
      <xdr:nvPicPr>
        <xdr:cNvPr id="5" name="Image 4">
          <a:extLst>
            <a:ext uri="{FF2B5EF4-FFF2-40B4-BE49-F238E27FC236}">
              <a16:creationId xmlns:a16="http://schemas.microsoft.com/office/drawing/2014/main" id="{224D2ECE-98B2-46A8-B742-1F1633B08331}"/>
            </a:ext>
          </a:extLst>
        </xdr:cNvPr>
        <xdr:cNvPicPr>
          <a:picLocks noChangeAspect="1"/>
        </xdr:cNvPicPr>
      </xdr:nvPicPr>
      <xdr:blipFill rotWithShape="1">
        <a:blip xmlns:r="http://schemas.openxmlformats.org/officeDocument/2006/relationships" r:embed="rId4">
          <a:extLst>
            <a:ext uri="{28A0092B-C50C-407E-A947-70E740481C1C}">
              <a14:useLocalDpi xmlns:a14="http://schemas.microsoft.com/office/drawing/2010/main" val="0"/>
            </a:ext>
          </a:extLst>
        </a:blip>
        <a:srcRect l="25750" t="17771" r="24077" b="14282"/>
        <a:stretch/>
      </xdr:blipFill>
      <xdr:spPr>
        <a:xfrm rot="10800000">
          <a:off x="2915644" y="3402816"/>
          <a:ext cx="2463178" cy="2357007"/>
        </a:xfrm>
        <a:prstGeom prst="rect">
          <a:avLst/>
        </a:prstGeom>
      </xdr:spPr>
    </xdr:pic>
    <xdr:clientData/>
  </xdr:twoCellAnchor>
  <xdr:oneCellAnchor>
    <xdr:from>
      <xdr:col>20</xdr:col>
      <xdr:colOff>36419</xdr:colOff>
      <xdr:row>15</xdr:row>
      <xdr:rowOff>14568</xdr:rowOff>
    </xdr:from>
    <xdr:ext cx="1953187" cy="212174"/>
    <mc:AlternateContent xmlns:mc="http://schemas.openxmlformats.org/markup-compatibility/2006" xmlns:a14="http://schemas.microsoft.com/office/drawing/2010/main">
      <mc:Choice Requires="a14">
        <xdr:sp macro="" textlink="">
          <xdr:nvSpPr>
            <xdr:cNvPr id="8" name="ZoneTexte 7">
              <a:extLst>
                <a:ext uri="{FF2B5EF4-FFF2-40B4-BE49-F238E27FC236}">
                  <a16:creationId xmlns:a16="http://schemas.microsoft.com/office/drawing/2014/main" id="{54CECFA9-AB44-4C1C-8131-E05CD651411E}"/>
                </a:ext>
              </a:extLst>
            </xdr:cNvPr>
            <xdr:cNvSpPr txBox="1"/>
          </xdr:nvSpPr>
          <xdr:spPr>
            <a:xfrm>
              <a:off x="6883213" y="1617009"/>
              <a:ext cx="1953187" cy="2121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fr-FR" sz="1200" i="1">
                            <a:latin typeface="Cambria Math" panose="02040503050406030204" pitchFamily="18" charset="0"/>
                          </a:rPr>
                        </m:ctrlPr>
                      </m:sSubPr>
                      <m:e>
                        <m:r>
                          <a:rPr lang="fr-FR" sz="1200" b="0" i="1">
                            <a:latin typeface="Cambria Math" panose="02040503050406030204" pitchFamily="18" charset="0"/>
                          </a:rPr>
                          <m:t>𝑁</m:t>
                        </m:r>
                      </m:e>
                      <m:sub>
                        <m:r>
                          <a:rPr lang="fr-FR" sz="1200" b="0" i="1">
                            <a:latin typeface="Cambria Math" panose="02040503050406030204" pitchFamily="18" charset="0"/>
                          </a:rPr>
                          <m:t>𝑅𝑑</m:t>
                        </m:r>
                        <m:r>
                          <a:rPr lang="fr-FR" sz="1200" b="0" i="1">
                            <a:latin typeface="Cambria Math" panose="02040503050406030204" pitchFamily="18" charset="0"/>
                          </a:rPr>
                          <m:t>,1</m:t>
                        </m:r>
                      </m:sub>
                    </m:sSub>
                    <m:r>
                      <a:rPr lang="fr-FR" sz="1200" i="0">
                        <a:latin typeface="Cambria Math" panose="02040503050406030204" pitchFamily="18" charset="0"/>
                        <a:ea typeface="Cambria Math" panose="02040503050406030204" pitchFamily="18" charset="0"/>
                      </a:rPr>
                      <m:t>=</m:t>
                    </m:r>
                    <m:r>
                      <m:rPr>
                        <m:sty m:val="p"/>
                      </m:rPr>
                      <a:rPr lang="fr-FR" sz="1200" b="0" i="0">
                        <a:latin typeface="Cambria Math" panose="02040503050406030204" pitchFamily="18" charset="0"/>
                        <a:ea typeface="Cambria Math" panose="02040503050406030204" pitchFamily="18" charset="0"/>
                      </a:rPr>
                      <m:t>min</m:t>
                    </m:r>
                    <m:d>
                      <m:dPr>
                        <m:ctrlPr>
                          <a:rPr lang="fr-FR" sz="1200" b="0" i="1">
                            <a:latin typeface="Cambria Math" panose="02040503050406030204" pitchFamily="18" charset="0"/>
                            <a:ea typeface="Cambria Math" panose="02040503050406030204" pitchFamily="18" charset="0"/>
                          </a:rPr>
                        </m:ctrlPr>
                      </m:dPr>
                      <m:e>
                        <m:sSub>
                          <m:sSubPr>
                            <m:ctrlPr>
                              <a:rPr lang="fr-FR" sz="1200" b="0" i="1">
                                <a:latin typeface="Cambria Math" panose="02040503050406030204" pitchFamily="18" charset="0"/>
                                <a:ea typeface="Cambria Math" panose="02040503050406030204" pitchFamily="18" charset="0"/>
                              </a:rPr>
                            </m:ctrlPr>
                          </m:sSubPr>
                          <m:e>
                            <m:r>
                              <a:rPr lang="fr-FR" sz="1200" b="0" i="1">
                                <a:latin typeface="Cambria Math" panose="02040503050406030204" pitchFamily="18" charset="0"/>
                                <a:ea typeface="Cambria Math" panose="02040503050406030204" pitchFamily="18" charset="0"/>
                              </a:rPr>
                              <m:t>𝑁</m:t>
                            </m:r>
                          </m:e>
                          <m:sub>
                            <m:r>
                              <a:rPr lang="fr-FR" sz="1200" b="0" i="1">
                                <a:latin typeface="Cambria Math" panose="02040503050406030204" pitchFamily="18" charset="0"/>
                                <a:ea typeface="Cambria Math" panose="02040503050406030204" pitchFamily="18" charset="0"/>
                              </a:rPr>
                              <m:t>𝑝𝑙</m:t>
                            </m:r>
                            <m:r>
                              <a:rPr lang="fr-FR" sz="1200" b="0" i="1">
                                <a:latin typeface="Cambria Math" panose="02040503050406030204" pitchFamily="18" charset="0"/>
                                <a:ea typeface="Cambria Math" panose="02040503050406030204" pitchFamily="18" charset="0"/>
                              </a:rPr>
                              <m:t>,</m:t>
                            </m:r>
                            <m:r>
                              <a:rPr lang="fr-FR" sz="1200" b="0" i="1">
                                <a:latin typeface="Cambria Math" panose="02040503050406030204" pitchFamily="18" charset="0"/>
                                <a:ea typeface="Cambria Math" panose="02040503050406030204" pitchFamily="18" charset="0"/>
                              </a:rPr>
                              <m:t>𝑅𝑑</m:t>
                            </m:r>
                          </m:sub>
                        </m:sSub>
                        <m:r>
                          <a:rPr lang="fr-FR" sz="1200" b="0" i="1">
                            <a:latin typeface="Cambria Math" panose="02040503050406030204" pitchFamily="18" charset="0"/>
                            <a:ea typeface="Cambria Math" panose="02040503050406030204" pitchFamily="18" charset="0"/>
                          </a:rPr>
                          <m:t>;</m:t>
                        </m:r>
                        <m:sSub>
                          <m:sSubPr>
                            <m:ctrlPr>
                              <a:rPr lang="fr-FR" sz="1200" b="0" i="1">
                                <a:latin typeface="Cambria Math" panose="02040503050406030204" pitchFamily="18" charset="0"/>
                                <a:ea typeface="Cambria Math" panose="02040503050406030204" pitchFamily="18" charset="0"/>
                              </a:rPr>
                            </m:ctrlPr>
                          </m:sSubPr>
                          <m:e>
                            <m:r>
                              <a:rPr lang="fr-FR" sz="1200" b="0" i="1">
                                <a:latin typeface="Cambria Math" panose="02040503050406030204" pitchFamily="18" charset="0"/>
                                <a:ea typeface="Cambria Math" panose="02040503050406030204" pitchFamily="18" charset="0"/>
                              </a:rPr>
                              <m:t>𝑁</m:t>
                            </m:r>
                          </m:e>
                          <m:sub>
                            <m:r>
                              <a:rPr lang="fr-FR" sz="1200" b="0" i="1">
                                <a:latin typeface="Cambria Math" panose="02040503050406030204" pitchFamily="18" charset="0"/>
                                <a:ea typeface="Cambria Math" panose="02040503050406030204" pitchFamily="18" charset="0"/>
                              </a:rPr>
                              <m:t>𝑢</m:t>
                            </m:r>
                            <m:r>
                              <a:rPr lang="fr-FR" sz="1200" b="0" i="1">
                                <a:latin typeface="Cambria Math" panose="02040503050406030204" pitchFamily="18" charset="0"/>
                                <a:ea typeface="Cambria Math" panose="02040503050406030204" pitchFamily="18" charset="0"/>
                              </a:rPr>
                              <m:t>,</m:t>
                            </m:r>
                            <m:r>
                              <a:rPr lang="fr-FR" sz="1200" b="0" i="1">
                                <a:latin typeface="Cambria Math" panose="02040503050406030204" pitchFamily="18" charset="0"/>
                                <a:ea typeface="Cambria Math" panose="02040503050406030204" pitchFamily="18" charset="0"/>
                              </a:rPr>
                              <m:t>𝑅𝑑</m:t>
                            </m:r>
                          </m:sub>
                        </m:sSub>
                      </m:e>
                    </m:d>
                  </m:oMath>
                </m:oMathPara>
              </a14:m>
              <a:endParaRPr lang="fr-FR" sz="1200"/>
            </a:p>
          </xdr:txBody>
        </xdr:sp>
      </mc:Choice>
      <mc:Fallback xmlns="">
        <xdr:sp macro="" textlink="">
          <xdr:nvSpPr>
            <xdr:cNvPr id="8" name="ZoneTexte 7">
              <a:extLst>
                <a:ext uri="{FF2B5EF4-FFF2-40B4-BE49-F238E27FC236}">
                  <a16:creationId xmlns:a16="http://schemas.microsoft.com/office/drawing/2014/main" id="{54CECFA9-AB44-4C1C-8131-E05CD651411E}"/>
                </a:ext>
              </a:extLst>
            </xdr:cNvPr>
            <xdr:cNvSpPr txBox="1"/>
          </xdr:nvSpPr>
          <xdr:spPr>
            <a:xfrm>
              <a:off x="6883213" y="1617009"/>
              <a:ext cx="1953187" cy="2121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fr-FR" sz="1200" b="0" i="0">
                  <a:latin typeface="Cambria Math" panose="02040503050406030204" pitchFamily="18" charset="0"/>
                </a:rPr>
                <a:t>𝑁_(𝑅𝑑,1)</a:t>
              </a:r>
              <a:r>
                <a:rPr lang="fr-FR" sz="1200" i="0">
                  <a:latin typeface="Cambria Math" panose="02040503050406030204" pitchFamily="18" charset="0"/>
                  <a:ea typeface="Cambria Math" panose="02040503050406030204" pitchFamily="18" charset="0"/>
                </a:rPr>
                <a:t>=</a:t>
              </a:r>
              <a:r>
                <a:rPr lang="fr-FR" sz="1200" b="0" i="0">
                  <a:latin typeface="Cambria Math" panose="02040503050406030204" pitchFamily="18" charset="0"/>
                  <a:ea typeface="Cambria Math" panose="02040503050406030204" pitchFamily="18" charset="0"/>
                </a:rPr>
                <a:t>min(𝑁_(𝑝𝑙,𝑅𝑑);𝑁_(𝑢,𝑅𝑑) )</a:t>
              </a:r>
              <a:endParaRPr lang="fr-FR" sz="1200"/>
            </a:p>
          </xdr:txBody>
        </xdr:sp>
      </mc:Fallback>
    </mc:AlternateContent>
    <xdr:clientData/>
  </xdr:oneCellAnchor>
  <xdr:oneCellAnchor>
    <xdr:from>
      <xdr:col>20</xdr:col>
      <xdr:colOff>142315</xdr:colOff>
      <xdr:row>24</xdr:row>
      <xdr:rowOff>187137</xdr:rowOff>
    </xdr:from>
    <xdr:ext cx="1120115" cy="199735"/>
    <mc:AlternateContent xmlns:mc="http://schemas.openxmlformats.org/markup-compatibility/2006" xmlns:a14="http://schemas.microsoft.com/office/drawing/2010/main">
      <mc:Choice Requires="a14">
        <xdr:sp macro="" textlink="">
          <xdr:nvSpPr>
            <xdr:cNvPr id="4" name="ZoneTexte 3">
              <a:extLst>
                <a:ext uri="{FF2B5EF4-FFF2-40B4-BE49-F238E27FC236}">
                  <a16:creationId xmlns:a16="http://schemas.microsoft.com/office/drawing/2014/main" id="{5FA0E2AF-7DA7-4775-A8E3-EF3D69A27F31}"/>
                </a:ext>
              </a:extLst>
            </xdr:cNvPr>
            <xdr:cNvSpPr txBox="1"/>
          </xdr:nvSpPr>
          <xdr:spPr>
            <a:xfrm>
              <a:off x="6989109" y="3582519"/>
              <a:ext cx="1120115" cy="1997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fr-FR" sz="1200" i="1">
                            <a:latin typeface="Cambria Math" panose="02040503050406030204" pitchFamily="18" charset="0"/>
                          </a:rPr>
                        </m:ctrlPr>
                      </m:sSubPr>
                      <m:e>
                        <m:r>
                          <a:rPr lang="fr-FR" sz="1200" b="0" i="1">
                            <a:latin typeface="Cambria Math" panose="02040503050406030204" pitchFamily="18" charset="0"/>
                          </a:rPr>
                          <m:t>𝑁</m:t>
                        </m:r>
                      </m:e>
                      <m:sub>
                        <m:r>
                          <a:rPr lang="fr-FR" sz="1200" b="0" i="1">
                            <a:latin typeface="Cambria Math" panose="02040503050406030204" pitchFamily="18" charset="0"/>
                          </a:rPr>
                          <m:t>𝑅𝑑</m:t>
                        </m:r>
                        <m:r>
                          <a:rPr lang="fr-FR" sz="1200" b="0" i="1">
                            <a:latin typeface="Cambria Math" panose="02040503050406030204" pitchFamily="18" charset="0"/>
                          </a:rPr>
                          <m:t>,2</m:t>
                        </m:r>
                      </m:sub>
                    </m:sSub>
                    <m:r>
                      <a:rPr lang="fr-FR" sz="1200" b="0" i="1">
                        <a:latin typeface="Cambria Math" panose="02040503050406030204" pitchFamily="18" charset="0"/>
                      </a:rPr>
                      <m:t>=</m:t>
                    </m:r>
                    <m:sSub>
                      <m:sSubPr>
                        <m:ctrlPr>
                          <a:rPr lang="fr-FR" sz="1200" b="0" i="1">
                            <a:latin typeface="Cambria Math" panose="02040503050406030204" pitchFamily="18" charset="0"/>
                          </a:rPr>
                        </m:ctrlPr>
                      </m:sSubPr>
                      <m:e>
                        <m:r>
                          <a:rPr lang="fr-FR" sz="1200" b="0" i="1">
                            <a:latin typeface="Cambria Math" panose="02040503050406030204" pitchFamily="18" charset="0"/>
                          </a:rPr>
                          <m:t>𝑉</m:t>
                        </m:r>
                      </m:e>
                      <m:sub>
                        <m:r>
                          <a:rPr lang="fr-FR" sz="1200" b="0" i="1">
                            <a:latin typeface="Cambria Math" panose="02040503050406030204" pitchFamily="18" charset="0"/>
                          </a:rPr>
                          <m:t>𝑒𝑓𝑓</m:t>
                        </m:r>
                        <m:r>
                          <a:rPr lang="fr-FR" sz="1200" b="0" i="1">
                            <a:latin typeface="Cambria Math" panose="02040503050406030204" pitchFamily="18" charset="0"/>
                          </a:rPr>
                          <m:t>,2,</m:t>
                        </m:r>
                        <m:r>
                          <a:rPr lang="fr-FR" sz="1200" b="0" i="1">
                            <a:latin typeface="Cambria Math" panose="02040503050406030204" pitchFamily="18" charset="0"/>
                          </a:rPr>
                          <m:t>𝑅𝑑</m:t>
                        </m:r>
                      </m:sub>
                    </m:sSub>
                  </m:oMath>
                </m:oMathPara>
              </a14:m>
              <a:endParaRPr lang="fr-FR" sz="1200"/>
            </a:p>
          </xdr:txBody>
        </xdr:sp>
      </mc:Choice>
      <mc:Fallback xmlns="">
        <xdr:sp macro="" textlink="">
          <xdr:nvSpPr>
            <xdr:cNvPr id="4" name="ZoneTexte 3">
              <a:extLst>
                <a:ext uri="{FF2B5EF4-FFF2-40B4-BE49-F238E27FC236}">
                  <a16:creationId xmlns:a16="http://schemas.microsoft.com/office/drawing/2014/main" id="{5FA0E2AF-7DA7-4775-A8E3-EF3D69A27F31}"/>
                </a:ext>
              </a:extLst>
            </xdr:cNvPr>
            <xdr:cNvSpPr txBox="1"/>
          </xdr:nvSpPr>
          <xdr:spPr>
            <a:xfrm>
              <a:off x="6989109" y="3582519"/>
              <a:ext cx="1120115" cy="1997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fr-FR" sz="1200" b="0" i="0">
                  <a:latin typeface="Cambria Math" panose="02040503050406030204" pitchFamily="18" charset="0"/>
                </a:rPr>
                <a:t>𝑁_(𝑅𝑑,2)=𝑉_(𝑒𝑓𝑓,2,𝑅𝑑)</a:t>
              </a:r>
              <a:endParaRPr lang="fr-FR" sz="1200"/>
            </a:p>
          </xdr:txBody>
        </xdr:sp>
      </mc:Fallback>
    </mc:AlternateContent>
    <xdr:clientData/>
  </xdr:oneCellAnchor>
  <xdr:twoCellAnchor>
    <xdr:from>
      <xdr:col>34</xdr:col>
      <xdr:colOff>56030</xdr:colOff>
      <xdr:row>8</xdr:row>
      <xdr:rowOff>11205</xdr:rowOff>
    </xdr:from>
    <xdr:to>
      <xdr:col>35</xdr:col>
      <xdr:colOff>0</xdr:colOff>
      <xdr:row>30</xdr:row>
      <xdr:rowOff>179294</xdr:rowOff>
    </xdr:to>
    <xdr:sp macro="" textlink="">
      <xdr:nvSpPr>
        <xdr:cNvPr id="9" name="Accolade fermante 8">
          <a:extLst>
            <a:ext uri="{FF2B5EF4-FFF2-40B4-BE49-F238E27FC236}">
              <a16:creationId xmlns:a16="http://schemas.microsoft.com/office/drawing/2014/main" id="{78326DFB-9085-4B5C-961D-69C152E60D62}"/>
            </a:ext>
          </a:extLst>
        </xdr:cNvPr>
        <xdr:cNvSpPr/>
      </xdr:nvSpPr>
      <xdr:spPr>
        <a:xfrm>
          <a:off x="14298706" y="5390029"/>
          <a:ext cx="549088" cy="4448736"/>
        </a:xfrm>
        <a:prstGeom prst="rightBrace">
          <a:avLst/>
        </a:prstGeom>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fr-FR" sz="1100"/>
        </a:p>
      </xdr:txBody>
    </xdr:sp>
    <xdr:clientData/>
  </xdr:twoCellAnchor>
  <xdr:twoCellAnchor>
    <xdr:from>
      <xdr:col>45</xdr:col>
      <xdr:colOff>179294</xdr:colOff>
      <xdr:row>7</xdr:row>
      <xdr:rowOff>168088</xdr:rowOff>
    </xdr:from>
    <xdr:to>
      <xdr:col>46</xdr:col>
      <xdr:colOff>123264</xdr:colOff>
      <xdr:row>16</xdr:row>
      <xdr:rowOff>22412</xdr:rowOff>
    </xdr:to>
    <xdr:sp macro="" textlink="">
      <xdr:nvSpPr>
        <xdr:cNvPr id="13" name="Accolade fermante 12">
          <a:extLst>
            <a:ext uri="{FF2B5EF4-FFF2-40B4-BE49-F238E27FC236}">
              <a16:creationId xmlns:a16="http://schemas.microsoft.com/office/drawing/2014/main" id="{1C5884C3-9066-4B7A-A9D7-D15ACC1BAEDB}"/>
            </a:ext>
          </a:extLst>
        </xdr:cNvPr>
        <xdr:cNvSpPr/>
      </xdr:nvSpPr>
      <xdr:spPr>
        <a:xfrm>
          <a:off x="14421970" y="10668000"/>
          <a:ext cx="549088" cy="1568824"/>
        </a:xfrm>
        <a:prstGeom prst="rightBrace">
          <a:avLst/>
        </a:prstGeom>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fr-FR" sz="1100"/>
        </a:p>
      </xdr:txBody>
    </xdr:sp>
    <xdr:clientData/>
  </xdr:twoCellAnchor>
  <xdr:twoCellAnchor>
    <xdr:from>
      <xdr:col>25</xdr:col>
      <xdr:colOff>56030</xdr:colOff>
      <xdr:row>53</xdr:row>
      <xdr:rowOff>11205</xdr:rowOff>
    </xdr:from>
    <xdr:to>
      <xdr:col>26</xdr:col>
      <xdr:colOff>0</xdr:colOff>
      <xdr:row>75</xdr:row>
      <xdr:rowOff>179294</xdr:rowOff>
    </xdr:to>
    <xdr:sp macro="" textlink="">
      <xdr:nvSpPr>
        <xdr:cNvPr id="15" name="Accolade fermante 14">
          <a:extLst>
            <a:ext uri="{FF2B5EF4-FFF2-40B4-BE49-F238E27FC236}">
              <a16:creationId xmlns:a16="http://schemas.microsoft.com/office/drawing/2014/main" id="{59A90842-3CF1-4AEA-AD89-2BAFFA23EE97}"/>
            </a:ext>
          </a:extLst>
        </xdr:cNvPr>
        <xdr:cNvSpPr/>
      </xdr:nvSpPr>
      <xdr:spPr>
        <a:xfrm>
          <a:off x="19744765" y="1658470"/>
          <a:ext cx="549088" cy="4515971"/>
        </a:xfrm>
        <a:prstGeom prst="rightBrace">
          <a:avLst/>
        </a:prstGeom>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fr-FR" sz="1100"/>
        </a:p>
      </xdr:txBody>
    </xdr:sp>
    <xdr:clientData/>
  </xdr:twoCellAnchor>
  <xdr:twoCellAnchor editAs="oneCell">
    <xdr:from>
      <xdr:col>6</xdr:col>
      <xdr:colOff>100849</xdr:colOff>
      <xdr:row>43</xdr:row>
      <xdr:rowOff>22409</xdr:rowOff>
    </xdr:from>
    <xdr:to>
      <xdr:col>8</xdr:col>
      <xdr:colOff>358587</xdr:colOff>
      <xdr:row>54</xdr:row>
      <xdr:rowOff>89409</xdr:rowOff>
    </xdr:to>
    <xdr:pic>
      <xdr:nvPicPr>
        <xdr:cNvPr id="6" name="Gousset1">
          <a:extLst>
            <a:ext uri="{FF2B5EF4-FFF2-40B4-BE49-F238E27FC236}">
              <a16:creationId xmlns:a16="http://schemas.microsoft.com/office/drawing/2014/main" id="{9E961FED-5111-4B28-8C84-CFD6CF326933}"/>
            </a:ext>
          </a:extLst>
        </xdr:cNvPr>
        <xdr:cNvPicPr>
          <a:picLocks noChangeAspect="1"/>
        </xdr:cNvPicPr>
      </xdr:nvPicPr>
      <xdr:blipFill rotWithShape="1">
        <a:blip xmlns:r="http://schemas.openxmlformats.org/officeDocument/2006/relationships" r:embed="rId5" cstate="print">
          <a:extLst>
            <a:ext uri="{28A0092B-C50C-407E-A947-70E740481C1C}">
              <a14:useLocalDpi xmlns:a14="http://schemas.microsoft.com/office/drawing/2010/main" val="0"/>
            </a:ext>
          </a:extLst>
        </a:blip>
        <a:srcRect l="38004" t="6548" r="19897" b="2498"/>
        <a:stretch/>
      </xdr:blipFill>
      <xdr:spPr>
        <a:xfrm rot="10800000">
          <a:off x="3316937" y="10712821"/>
          <a:ext cx="1467974" cy="2240941"/>
        </a:xfrm>
        <a:prstGeom prst="rect">
          <a:avLst/>
        </a:prstGeom>
      </xdr:spPr>
    </xdr:pic>
    <xdr:clientData/>
  </xdr:twoCellAnchor>
  <xdr:twoCellAnchor editAs="oneCell">
    <xdr:from>
      <xdr:col>6</xdr:col>
      <xdr:colOff>33613</xdr:colOff>
      <xdr:row>43</xdr:row>
      <xdr:rowOff>44823</xdr:rowOff>
    </xdr:from>
    <xdr:to>
      <xdr:col>9</xdr:col>
      <xdr:colOff>374714</xdr:colOff>
      <xdr:row>54</xdr:row>
      <xdr:rowOff>78438</xdr:rowOff>
    </xdr:to>
    <xdr:pic>
      <xdr:nvPicPr>
        <xdr:cNvPr id="10" name="Gousset2" hidden="1">
          <a:extLst>
            <a:ext uri="{FF2B5EF4-FFF2-40B4-BE49-F238E27FC236}">
              <a16:creationId xmlns:a16="http://schemas.microsoft.com/office/drawing/2014/main" id="{92134502-F1DD-4F43-B42B-DEB818715913}"/>
            </a:ext>
          </a:extLst>
        </xdr:cNvPr>
        <xdr:cNvPicPr>
          <a:picLocks noChangeAspect="1"/>
        </xdr:cNvPicPr>
      </xdr:nvPicPr>
      <xdr:blipFill rotWithShape="1">
        <a:blip xmlns:r="http://schemas.openxmlformats.org/officeDocument/2006/relationships" r:embed="rId6" cstate="print">
          <a:extLst>
            <a:ext uri="{28A0092B-C50C-407E-A947-70E740481C1C}">
              <a14:useLocalDpi xmlns:a14="http://schemas.microsoft.com/office/drawing/2010/main" val="0"/>
            </a:ext>
          </a:extLst>
        </a:blip>
        <a:srcRect l="20415" t="9404" r="18743" b="2449"/>
        <a:stretch/>
      </xdr:blipFill>
      <xdr:spPr>
        <a:xfrm rot="10800000">
          <a:off x="3249701" y="10735235"/>
          <a:ext cx="2156454" cy="2207556"/>
        </a:xfrm>
        <a:prstGeom prst="rect">
          <a:avLst/>
        </a:prstGeom>
      </xdr:spPr>
    </xdr:pic>
    <xdr:clientData/>
  </xdr:twoCellAnchor>
  <xdr:oneCellAnchor>
    <xdr:from>
      <xdr:col>31</xdr:col>
      <xdr:colOff>142315</xdr:colOff>
      <xdr:row>52</xdr:row>
      <xdr:rowOff>187137</xdr:rowOff>
    </xdr:from>
    <xdr:ext cx="1120115" cy="199735"/>
    <mc:AlternateContent xmlns:mc="http://schemas.openxmlformats.org/markup-compatibility/2006" xmlns:a14="http://schemas.microsoft.com/office/drawing/2010/main">
      <mc:Choice Requires="a14">
        <xdr:sp macro="" textlink="">
          <xdr:nvSpPr>
            <xdr:cNvPr id="16" name="ZoneTexte 15">
              <a:extLst>
                <a:ext uri="{FF2B5EF4-FFF2-40B4-BE49-F238E27FC236}">
                  <a16:creationId xmlns:a16="http://schemas.microsoft.com/office/drawing/2014/main" id="{7EE32533-1CCD-4037-BF8F-9EA539352D46}"/>
                </a:ext>
              </a:extLst>
            </xdr:cNvPr>
            <xdr:cNvSpPr txBox="1"/>
          </xdr:nvSpPr>
          <xdr:spPr>
            <a:xfrm>
              <a:off x="18620815" y="10496549"/>
              <a:ext cx="1120115" cy="1997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fr-FR" sz="1200" i="1">
                            <a:latin typeface="Cambria Math" panose="02040503050406030204" pitchFamily="18" charset="0"/>
                          </a:rPr>
                        </m:ctrlPr>
                      </m:sSubPr>
                      <m:e>
                        <m:r>
                          <a:rPr lang="fr-FR" sz="1200" b="0" i="1">
                            <a:latin typeface="Cambria Math" panose="02040503050406030204" pitchFamily="18" charset="0"/>
                          </a:rPr>
                          <m:t>𝑁</m:t>
                        </m:r>
                      </m:e>
                      <m:sub>
                        <m:r>
                          <a:rPr lang="fr-FR" sz="1200" b="0" i="1">
                            <a:latin typeface="Cambria Math" panose="02040503050406030204" pitchFamily="18" charset="0"/>
                          </a:rPr>
                          <m:t>𝑅𝑑</m:t>
                        </m:r>
                        <m:r>
                          <a:rPr lang="fr-FR" sz="1200" b="0" i="1">
                            <a:latin typeface="Cambria Math" panose="02040503050406030204" pitchFamily="18" charset="0"/>
                          </a:rPr>
                          <m:t>,8</m:t>
                        </m:r>
                      </m:sub>
                    </m:sSub>
                    <m:r>
                      <a:rPr lang="fr-FR" sz="1200" b="0" i="1">
                        <a:latin typeface="Cambria Math" panose="02040503050406030204" pitchFamily="18" charset="0"/>
                      </a:rPr>
                      <m:t>=</m:t>
                    </m:r>
                    <m:sSub>
                      <m:sSubPr>
                        <m:ctrlPr>
                          <a:rPr lang="fr-FR" sz="1200" b="0" i="1">
                            <a:latin typeface="Cambria Math" panose="02040503050406030204" pitchFamily="18" charset="0"/>
                          </a:rPr>
                        </m:ctrlPr>
                      </m:sSubPr>
                      <m:e>
                        <m:r>
                          <a:rPr lang="fr-FR" sz="1200" b="0" i="1">
                            <a:latin typeface="Cambria Math" panose="02040503050406030204" pitchFamily="18" charset="0"/>
                          </a:rPr>
                          <m:t>𝑉</m:t>
                        </m:r>
                      </m:e>
                      <m:sub>
                        <m:r>
                          <a:rPr lang="fr-FR" sz="1200" b="0" i="1">
                            <a:latin typeface="Cambria Math" panose="02040503050406030204" pitchFamily="18" charset="0"/>
                          </a:rPr>
                          <m:t>𝑒𝑓𝑓</m:t>
                        </m:r>
                        <m:r>
                          <a:rPr lang="fr-FR" sz="1200" b="0" i="1">
                            <a:latin typeface="Cambria Math" panose="02040503050406030204" pitchFamily="18" charset="0"/>
                          </a:rPr>
                          <m:t>,2,</m:t>
                        </m:r>
                        <m:r>
                          <a:rPr lang="fr-FR" sz="1200" b="0" i="1">
                            <a:latin typeface="Cambria Math" panose="02040503050406030204" pitchFamily="18" charset="0"/>
                          </a:rPr>
                          <m:t>𝑅𝑑</m:t>
                        </m:r>
                      </m:sub>
                    </m:sSub>
                  </m:oMath>
                </m:oMathPara>
              </a14:m>
              <a:endParaRPr lang="fr-FR" sz="1200"/>
            </a:p>
          </xdr:txBody>
        </xdr:sp>
      </mc:Choice>
      <mc:Fallback xmlns="">
        <xdr:sp macro="" textlink="">
          <xdr:nvSpPr>
            <xdr:cNvPr id="16" name="ZoneTexte 15">
              <a:extLst>
                <a:ext uri="{FF2B5EF4-FFF2-40B4-BE49-F238E27FC236}">
                  <a16:creationId xmlns:a16="http://schemas.microsoft.com/office/drawing/2014/main" id="{7EE32533-1CCD-4037-BF8F-9EA539352D46}"/>
                </a:ext>
              </a:extLst>
            </xdr:cNvPr>
            <xdr:cNvSpPr txBox="1"/>
          </xdr:nvSpPr>
          <xdr:spPr>
            <a:xfrm>
              <a:off x="18620815" y="10496549"/>
              <a:ext cx="1120115" cy="1997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fr-FR" sz="1200" b="0" i="0">
                  <a:latin typeface="Cambria Math" panose="02040503050406030204" pitchFamily="18" charset="0"/>
                </a:rPr>
                <a:t>𝑁_(𝑅𝑑,8)=𝑉_(𝑒𝑓𝑓,2,𝑅𝑑)</a:t>
              </a:r>
              <a:endParaRPr lang="fr-FR" sz="1200"/>
            </a:p>
          </xdr:txBody>
        </xdr:sp>
      </mc:Fallback>
    </mc:AlternateContent>
    <xdr:clientData/>
  </xdr:oneCellAnchor>
  <xdr:twoCellAnchor editAs="oneCell">
    <xdr:from>
      <xdr:col>1</xdr:col>
      <xdr:colOff>290450</xdr:colOff>
      <xdr:row>9</xdr:row>
      <xdr:rowOff>39230</xdr:rowOff>
    </xdr:from>
    <xdr:to>
      <xdr:col>7</xdr:col>
      <xdr:colOff>339469</xdr:colOff>
      <xdr:row>13</xdr:row>
      <xdr:rowOff>202126</xdr:rowOff>
    </xdr:to>
    <xdr:pic>
      <xdr:nvPicPr>
        <xdr:cNvPr id="7" name="pic-5bls" hidden="1">
          <a:extLst>
            <a:ext uri="{FF2B5EF4-FFF2-40B4-BE49-F238E27FC236}">
              <a16:creationId xmlns:a16="http://schemas.microsoft.com/office/drawing/2014/main" id="{666A97A7-A551-4833-BCEF-6D55E18B942C}"/>
            </a:ext>
          </a:extLst>
        </xdr:cNvPr>
        <xdr:cNvPicPr>
          <a:picLocks noChangeAspect="1"/>
        </xdr:cNvPicPr>
      </xdr:nvPicPr>
      <xdr:blipFill rotWithShape="1">
        <a:blip xmlns:r="http://schemas.openxmlformats.org/officeDocument/2006/relationships" r:embed="rId7">
          <a:extLst>
            <a:ext uri="{28A0092B-C50C-407E-A947-70E740481C1C}">
              <a14:useLocalDpi xmlns:a14="http://schemas.microsoft.com/office/drawing/2010/main" val="0"/>
            </a:ext>
          </a:extLst>
        </a:blip>
        <a:srcRect l="7065" t="45910" r="16522" b="27156"/>
        <a:stretch/>
      </xdr:blipFill>
      <xdr:spPr>
        <a:xfrm rot="10800000">
          <a:off x="441412" y="1875938"/>
          <a:ext cx="3744000" cy="92489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66675</xdr:colOff>
      <xdr:row>13</xdr:row>
      <xdr:rowOff>28575</xdr:rowOff>
    </xdr:from>
    <xdr:to>
      <xdr:col>4</xdr:col>
      <xdr:colOff>243853</xdr:colOff>
      <xdr:row>25</xdr:row>
      <xdr:rowOff>99582</xdr:rowOff>
    </xdr:to>
    <xdr:pic>
      <xdr:nvPicPr>
        <xdr:cNvPr id="4" name="Image 3">
          <a:extLst>
            <a:ext uri="{FF2B5EF4-FFF2-40B4-BE49-F238E27FC236}">
              <a16:creationId xmlns:a16="http://schemas.microsoft.com/office/drawing/2014/main" id="{89C5FE8C-0F94-4172-9FC7-CF9CEE27827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25750" t="17771" r="24077" b="14282"/>
        <a:stretch/>
      </xdr:blipFill>
      <xdr:spPr>
        <a:xfrm rot="10800000">
          <a:off x="828675" y="2505075"/>
          <a:ext cx="2463178" cy="2357007"/>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vbourgeois\AppData\Roaming\Microsoft\AddIns\Fonctions%20EC3-1-8.xlam" TargetMode="External"/><Relationship Id="rId1" Type="http://schemas.openxmlformats.org/officeDocument/2006/relationships/externalLinkPath" Target="/Users/vbourgeois/AppData/Roaming/Microsoft/AddIns/Fonctions%20EC3-1-8.xlam"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file:///C:\Users\vbourgeois\AppData\Roaming\Microsoft\AddIns\Fonctions%20EC3.xlam" TargetMode="External"/><Relationship Id="rId1" Type="http://schemas.openxmlformats.org/officeDocument/2006/relationships/externalLinkPath" Target="/Users/vbourgeois/AppData/Roaming/Microsoft/AddIns/Fonctions%20EC3.xla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Feuil1"/>
    </sheetNames>
    <definedNames>
      <definedName name="FbRd"/>
      <definedName name="fub"/>
      <definedName name="FvrdBoulon"/>
      <definedName name="NurdL"/>
      <definedName name="Veff2Rd"/>
    </definedNames>
    <sheetDataSet>
      <sheetData sheetId="0"/>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Feuil1"/>
    </sheetNames>
    <definedNames>
      <definedName name="GammaM"/>
      <definedName name="Nplrd"/>
    </definedNames>
    <sheetDataSet>
      <sheetData sheetId="0"/>
    </sheetDataSet>
  </externalBook>
</externalLink>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mailto:victor_bourgeois@orange.fr" TargetMode="Externa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4"/>
  <dimension ref="A1:A12"/>
  <sheetViews>
    <sheetView workbookViewId="0"/>
  </sheetViews>
  <sheetFormatPr baseColWidth="10" defaultRowHeight="15" x14ac:dyDescent="0.25"/>
  <sheetData>
    <row r="1" spans="1:1" x14ac:dyDescent="0.25">
      <c r="A1" t="s">
        <v>146</v>
      </c>
    </row>
    <row r="2" spans="1:1" x14ac:dyDescent="0.25">
      <c r="A2" t="s">
        <v>147</v>
      </c>
    </row>
    <row r="4" spans="1:1" x14ac:dyDescent="0.25">
      <c r="A4" t="s">
        <v>149</v>
      </c>
    </row>
    <row r="5" spans="1:1" x14ac:dyDescent="0.25">
      <c r="A5" t="s">
        <v>150</v>
      </c>
    </row>
    <row r="6" spans="1:1" x14ac:dyDescent="0.25">
      <c r="A6" t="s">
        <v>151</v>
      </c>
    </row>
    <row r="8" spans="1:1" x14ac:dyDescent="0.25">
      <c r="A8" t="s">
        <v>148</v>
      </c>
    </row>
    <row r="10" spans="1:1" x14ac:dyDescent="0.25">
      <c r="A10" t="s">
        <v>152</v>
      </c>
    </row>
    <row r="11" spans="1:1" x14ac:dyDescent="0.25">
      <c r="A11" t="s">
        <v>153</v>
      </c>
    </row>
    <row r="12" spans="1:1" x14ac:dyDescent="0.25">
      <c r="A12" t="s">
        <v>154</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3"/>
  <dimension ref="B1:J25"/>
  <sheetViews>
    <sheetView workbookViewId="0"/>
  </sheetViews>
  <sheetFormatPr baseColWidth="10" defaultRowHeight="15" x14ac:dyDescent="0.25"/>
  <cols>
    <col min="1" max="1" width="2" customWidth="1"/>
    <col min="3" max="3" width="6.42578125" bestFit="1" customWidth="1"/>
    <col min="4" max="4" width="13" customWidth="1"/>
    <col min="5" max="5" width="26.5703125" customWidth="1"/>
  </cols>
  <sheetData>
    <row r="1" spans="2:10" x14ac:dyDescent="0.25">
      <c r="B1" s="42" t="s">
        <v>137</v>
      </c>
      <c r="C1" s="43"/>
      <c r="D1" s="43"/>
      <c r="E1" s="43"/>
      <c r="F1" s="43"/>
      <c r="G1" s="43"/>
      <c r="H1" s="43"/>
      <c r="I1" s="43"/>
      <c r="J1" s="44"/>
    </row>
    <row r="2" spans="2:10" ht="15.75" thickBot="1" x14ac:dyDescent="0.3">
      <c r="B2" s="45"/>
      <c r="C2" s="46"/>
      <c r="D2" s="46"/>
      <c r="E2" s="46"/>
      <c r="F2" s="46"/>
      <c r="G2" s="46"/>
      <c r="H2" s="46"/>
      <c r="I2" s="46"/>
      <c r="J2" s="47"/>
    </row>
    <row r="4" spans="2:10" ht="15.75" thickBot="1" x14ac:dyDescent="0.3"/>
    <row r="5" spans="2:10" x14ac:dyDescent="0.25">
      <c r="B5" s="34" t="s">
        <v>59</v>
      </c>
      <c r="C5" s="35" t="s">
        <v>60</v>
      </c>
      <c r="D5" s="35" t="s">
        <v>61</v>
      </c>
      <c r="E5" s="35" t="s">
        <v>139</v>
      </c>
      <c r="F5" s="54" t="s">
        <v>62</v>
      </c>
      <c r="G5" s="55"/>
      <c r="H5" s="55"/>
      <c r="I5" s="55"/>
      <c r="J5" s="56"/>
    </row>
    <row r="6" spans="2:10" x14ac:dyDescent="0.25">
      <c r="B6" s="36">
        <v>44328</v>
      </c>
      <c r="C6" s="5" t="s">
        <v>124</v>
      </c>
      <c r="D6" s="5" t="s">
        <v>125</v>
      </c>
      <c r="E6" s="41" t="s">
        <v>140</v>
      </c>
      <c r="F6" s="57" t="s">
        <v>126</v>
      </c>
      <c r="G6" s="58"/>
      <c r="H6" s="58"/>
      <c r="I6" s="58"/>
      <c r="J6" s="59"/>
    </row>
    <row r="7" spans="2:10" x14ac:dyDescent="0.25">
      <c r="B7" s="37"/>
      <c r="C7" s="5"/>
      <c r="D7" s="5"/>
      <c r="E7" s="5"/>
      <c r="F7" s="48"/>
      <c r="G7" s="49"/>
      <c r="H7" s="49"/>
      <c r="I7" s="49"/>
      <c r="J7" s="50"/>
    </row>
    <row r="8" spans="2:10" x14ac:dyDescent="0.25">
      <c r="B8" s="37"/>
      <c r="C8" s="5"/>
      <c r="D8" s="5"/>
      <c r="E8" s="5"/>
      <c r="F8" s="48"/>
      <c r="G8" s="49"/>
      <c r="H8" s="49"/>
      <c r="I8" s="49"/>
      <c r="J8" s="50"/>
    </row>
    <row r="9" spans="2:10" x14ac:dyDescent="0.25">
      <c r="B9" s="37"/>
      <c r="C9" s="5"/>
      <c r="D9" s="5"/>
      <c r="E9" s="5"/>
      <c r="F9" s="48"/>
      <c r="G9" s="49"/>
      <c r="H9" s="49"/>
      <c r="I9" s="49"/>
      <c r="J9" s="50"/>
    </row>
    <row r="10" spans="2:10" ht="15.75" thickBot="1" x14ac:dyDescent="0.3">
      <c r="B10" s="38"/>
      <c r="C10" s="39"/>
      <c r="D10" s="39"/>
      <c r="E10" s="39"/>
      <c r="F10" s="51"/>
      <c r="G10" s="52"/>
      <c r="H10" s="52"/>
      <c r="I10" s="52"/>
      <c r="J10" s="53"/>
    </row>
    <row r="14" spans="2:10" x14ac:dyDescent="0.25">
      <c r="B14" s="40" t="s">
        <v>63</v>
      </c>
      <c r="C14" s="40"/>
    </row>
    <row r="15" spans="2:10" x14ac:dyDescent="0.25">
      <c r="B15" t="s">
        <v>128</v>
      </c>
    </row>
    <row r="16" spans="2:10" x14ac:dyDescent="0.25">
      <c r="B16" t="s">
        <v>133</v>
      </c>
    </row>
    <row r="17" spans="2:8" x14ac:dyDescent="0.25">
      <c r="B17" t="s">
        <v>138</v>
      </c>
    </row>
    <row r="18" spans="2:8" x14ac:dyDescent="0.25">
      <c r="B18" s="1" t="s">
        <v>134</v>
      </c>
    </row>
    <row r="19" spans="2:8" x14ac:dyDescent="0.25">
      <c r="B19" s="1" t="s">
        <v>135</v>
      </c>
    </row>
    <row r="20" spans="2:8" x14ac:dyDescent="0.25">
      <c r="B20" s="1" t="s">
        <v>136</v>
      </c>
    </row>
    <row r="22" spans="2:8" x14ac:dyDescent="0.25">
      <c r="B22" s="33" t="s">
        <v>129</v>
      </c>
    </row>
    <row r="23" spans="2:8" x14ac:dyDescent="0.25">
      <c r="B23" s="1" t="s">
        <v>130</v>
      </c>
    </row>
    <row r="24" spans="2:8" x14ac:dyDescent="0.25">
      <c r="B24" s="1" t="s">
        <v>131</v>
      </c>
    </row>
    <row r="25" spans="2:8" x14ac:dyDescent="0.25">
      <c r="B25" s="1" t="s">
        <v>132</v>
      </c>
      <c r="C25" s="40"/>
      <c r="D25" s="40"/>
      <c r="E25" s="40"/>
      <c r="F25" s="40"/>
      <c r="G25" s="40"/>
      <c r="H25" s="40"/>
    </row>
  </sheetData>
  <mergeCells count="7">
    <mergeCell ref="B1:J2"/>
    <mergeCell ref="F8:J8"/>
    <mergeCell ref="F9:J9"/>
    <mergeCell ref="F10:J10"/>
    <mergeCell ref="F5:J5"/>
    <mergeCell ref="F6:J6"/>
    <mergeCell ref="F7:J7"/>
  </mergeCells>
  <hyperlinks>
    <hyperlink ref="E6" r:id="rId1" xr:uid="{00000000-0004-0000-0100-000000000000}"/>
  </hyperlinks>
  <pageMargins left="0.7" right="0.7" top="0.75" bottom="0.75" header="0.3" footer="0.3"/>
  <pageSetup paperSize="9" orientation="portrait" horizontalDpi="4294967292" verticalDpi="1200"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1">
    <pageSetUpPr fitToPage="1"/>
  </sheetPr>
  <dimension ref="A1:AW83"/>
  <sheetViews>
    <sheetView tabSelected="1" zoomScale="85" zoomScaleNormal="85" zoomScaleSheetLayoutView="130" workbookViewId="0">
      <selection activeCell="O8" sqref="O8"/>
    </sheetView>
  </sheetViews>
  <sheetFormatPr baseColWidth="10" defaultColWidth="9.140625" defaultRowHeight="15" x14ac:dyDescent="0.25"/>
  <cols>
    <col min="1" max="1" width="2.28515625" customWidth="1"/>
    <col min="3" max="3" width="9.5703125" customWidth="1"/>
    <col min="14" max="16" width="9.7109375" customWidth="1"/>
    <col min="20" max="20" width="9.140625" style="30"/>
    <col min="43" max="43" width="9.5703125" bestFit="1" customWidth="1"/>
  </cols>
  <sheetData>
    <row r="1" spans="1:49" x14ac:dyDescent="0.25">
      <c r="A1" s="62" t="s">
        <v>0</v>
      </c>
      <c r="B1" s="63"/>
      <c r="C1" s="63"/>
      <c r="D1" s="63"/>
      <c r="E1" s="63"/>
      <c r="F1" s="63"/>
      <c r="G1" s="63"/>
      <c r="H1" s="63"/>
      <c r="I1" s="63"/>
      <c r="J1" s="63"/>
      <c r="K1" s="64"/>
      <c r="M1" s="3" t="s">
        <v>39</v>
      </c>
    </row>
    <row r="2" spans="1:49" x14ac:dyDescent="0.25">
      <c r="A2" s="65"/>
      <c r="B2" s="66"/>
      <c r="C2" s="66"/>
      <c r="D2" s="66"/>
      <c r="E2" s="66"/>
      <c r="F2" s="66"/>
      <c r="G2" s="66"/>
      <c r="H2" s="66"/>
      <c r="I2" s="66"/>
      <c r="J2" s="66"/>
      <c r="K2" s="67"/>
      <c r="M2" t="s">
        <v>38</v>
      </c>
      <c r="R2" s="2" t="b">
        <v>1</v>
      </c>
    </row>
    <row r="3" spans="1:49" ht="18.75" x14ac:dyDescent="0.3">
      <c r="A3" s="11"/>
      <c r="B3" s="24" t="s">
        <v>27</v>
      </c>
      <c r="K3" s="12"/>
      <c r="W3" s="7" t="s">
        <v>127</v>
      </c>
      <c r="X3" s="83">
        <v>5079</v>
      </c>
      <c r="Y3" s="84"/>
      <c r="Z3" s="8" t="s">
        <v>1</v>
      </c>
      <c r="AA3" s="85" t="s">
        <v>143</v>
      </c>
      <c r="AB3" s="86"/>
      <c r="AC3" s="86"/>
      <c r="AD3" s="86"/>
      <c r="AE3" s="86"/>
      <c r="AF3" s="86"/>
      <c r="AG3" s="86"/>
      <c r="AH3" s="86"/>
      <c r="AI3" s="86"/>
      <c r="AJ3" s="86"/>
      <c r="AK3" s="86"/>
      <c r="AL3" s="86"/>
      <c r="AM3" s="86"/>
      <c r="AN3" s="86"/>
      <c r="AO3" s="87"/>
    </row>
    <row r="4" spans="1:49" x14ac:dyDescent="0.25">
      <c r="A4" s="11"/>
      <c r="K4" s="12"/>
    </row>
    <row r="5" spans="1:49" x14ac:dyDescent="0.25">
      <c r="A5" s="11"/>
      <c r="D5" s="4" t="s">
        <v>18</v>
      </c>
      <c r="E5" s="2">
        <v>2</v>
      </c>
      <c r="I5" s="4" t="s">
        <v>32</v>
      </c>
      <c r="J5" s="2" t="s">
        <v>34</v>
      </c>
      <c r="K5" s="12"/>
      <c r="U5" s="3" t="s">
        <v>71</v>
      </c>
    </row>
    <row r="6" spans="1:49" x14ac:dyDescent="0.25">
      <c r="A6" s="11"/>
      <c r="D6" s="4" t="s">
        <v>36</v>
      </c>
      <c r="E6" s="2">
        <v>16</v>
      </c>
      <c r="F6" t="s">
        <v>24</v>
      </c>
      <c r="K6" s="12"/>
    </row>
    <row r="7" spans="1:49" ht="21" x14ac:dyDescent="0.35">
      <c r="A7" s="11"/>
      <c r="D7" s="4" t="s">
        <v>30</v>
      </c>
      <c r="E7" s="25" t="s">
        <v>160</v>
      </c>
      <c r="K7" s="12"/>
      <c r="U7" s="3" t="s">
        <v>79</v>
      </c>
      <c r="AD7" s="69" t="s">
        <v>90</v>
      </c>
      <c r="AE7" s="70"/>
      <c r="AF7" s="70"/>
      <c r="AG7" s="70"/>
      <c r="AH7" s="71"/>
      <c r="AI7" s="9"/>
      <c r="AJ7" s="9"/>
      <c r="AK7" s="9"/>
      <c r="AL7" s="9"/>
      <c r="AM7" s="10"/>
      <c r="AO7" s="69" t="s">
        <v>91</v>
      </c>
      <c r="AP7" s="70"/>
      <c r="AQ7" s="70"/>
      <c r="AR7" s="70"/>
      <c r="AS7" s="71"/>
      <c r="AT7" s="9"/>
      <c r="AU7" s="9"/>
      <c r="AV7" s="9"/>
      <c r="AW7" s="10"/>
    </row>
    <row r="8" spans="1:49" x14ac:dyDescent="0.25">
      <c r="A8" s="11"/>
      <c r="D8" s="4" t="s">
        <v>37</v>
      </c>
      <c r="E8" s="2">
        <v>18</v>
      </c>
      <c r="F8" t="s">
        <v>24</v>
      </c>
      <c r="K8" s="12"/>
      <c r="AD8" s="11" t="s">
        <v>110</v>
      </c>
      <c r="AM8" s="12"/>
      <c r="AO8" s="11"/>
      <c r="AW8" s="12"/>
    </row>
    <row r="9" spans="1:49" x14ac:dyDescent="0.25">
      <c r="A9" s="11"/>
      <c r="D9" s="4" t="s">
        <v>54</v>
      </c>
      <c r="E9" s="2">
        <v>0</v>
      </c>
      <c r="F9" t="s">
        <v>24</v>
      </c>
      <c r="K9" s="12"/>
      <c r="U9" s="17" t="s">
        <v>80</v>
      </c>
      <c r="V9">
        <f>(1/12*E5^3-1/12*E5)*C25^2</f>
        <v>2592</v>
      </c>
      <c r="W9" t="s">
        <v>42</v>
      </c>
      <c r="AD9" s="19" t="s">
        <v>76</v>
      </c>
      <c r="AI9" s="11"/>
      <c r="AM9" s="12"/>
      <c r="AO9" s="19" t="s">
        <v>76</v>
      </c>
      <c r="AS9" s="12"/>
      <c r="AW9" s="12"/>
    </row>
    <row r="10" spans="1:49" x14ac:dyDescent="0.25">
      <c r="A10" s="11"/>
      <c r="K10" s="12"/>
      <c r="U10" t="s">
        <v>81</v>
      </c>
      <c r="V10">
        <f>(0.5*E5-0.5)*C25</f>
        <v>36</v>
      </c>
      <c r="W10" t="s">
        <v>24</v>
      </c>
      <c r="AD10" s="11"/>
      <c r="AF10" s="4" t="s">
        <v>77</v>
      </c>
      <c r="AG10">
        <f>$X$3/$E$5</f>
        <v>2539.5</v>
      </c>
      <c r="AH10" t="s">
        <v>1</v>
      </c>
      <c r="AI10" s="11"/>
      <c r="AM10" s="12"/>
      <c r="AO10" s="11"/>
      <c r="AP10" s="4" t="s">
        <v>77</v>
      </c>
      <c r="AQ10">
        <f>X3/E5</f>
        <v>2539.5</v>
      </c>
      <c r="AR10" t="s">
        <v>1</v>
      </c>
      <c r="AS10" s="12"/>
      <c r="AW10" s="12"/>
    </row>
    <row r="11" spans="1:49" x14ac:dyDescent="0.25">
      <c r="A11" s="11"/>
      <c r="K11" s="12"/>
      <c r="U11" t="s">
        <v>88</v>
      </c>
      <c r="V11">
        <f>IF(E5&gt;2,V10-C25,0)</f>
        <v>0</v>
      </c>
      <c r="W11" t="s">
        <v>24</v>
      </c>
      <c r="AD11" s="11"/>
      <c r="AF11" s="4" t="s">
        <v>78</v>
      </c>
      <c r="AG11" s="20">
        <f>$X$3*($C$19-$C$21-$C$26)*$V$10/$V$9</f>
        <v>1347.3458333333335</v>
      </c>
      <c r="AH11" t="s">
        <v>1</v>
      </c>
      <c r="AI11" s="11"/>
      <c r="AM11" s="12"/>
      <c r="AO11" s="11"/>
      <c r="AP11" s="4" t="s">
        <v>78</v>
      </c>
      <c r="AQ11">
        <f>$X$3*($C$19-$C$21-$C$26)*$V$10/$V$9</f>
        <v>1347.3458333333335</v>
      </c>
      <c r="AR11" t="s">
        <v>1</v>
      </c>
      <c r="AS11" s="12"/>
      <c r="AW11" s="12"/>
    </row>
    <row r="12" spans="1:49" x14ac:dyDescent="0.25">
      <c r="A12" s="11"/>
      <c r="K12" s="12"/>
      <c r="AD12" s="11"/>
      <c r="AI12" s="11"/>
      <c r="AM12" s="12"/>
      <c r="AO12" s="11"/>
      <c r="AP12" s="4" t="s">
        <v>92</v>
      </c>
      <c r="AQ12" s="20">
        <f>SQRT(AQ10^2+AQ11^2)</f>
        <v>2874.7871303108159</v>
      </c>
      <c r="AR12" t="s">
        <v>1</v>
      </c>
      <c r="AS12" s="12"/>
      <c r="AV12" s="4" t="s">
        <v>89</v>
      </c>
      <c r="AW12" s="27">
        <f>AQ16</f>
        <v>0.47684234512851909</v>
      </c>
    </row>
    <row r="13" spans="1:49" x14ac:dyDescent="0.25">
      <c r="A13" s="11"/>
      <c r="K13" s="12"/>
      <c r="AD13" s="11"/>
      <c r="AF13" s="4" t="s">
        <v>82</v>
      </c>
      <c r="AG13" s="20">
        <f>[1]!FbRd(E6,E8,C20,C30,C24,,C26,,[1]!fub(E7),,J5)</f>
        <v>4352.2370370370363</v>
      </c>
      <c r="AH13" t="s">
        <v>1</v>
      </c>
      <c r="AI13" s="11"/>
      <c r="AM13" s="12"/>
      <c r="AO13" s="11"/>
      <c r="AS13" s="12"/>
      <c r="AV13" s="4" t="s">
        <v>96</v>
      </c>
      <c r="AW13" s="28">
        <f>X3/AW12</f>
        <v>10651.319145389871</v>
      </c>
    </row>
    <row r="14" spans="1:49" ht="21" x14ac:dyDescent="0.35">
      <c r="A14" s="11"/>
      <c r="K14" s="12"/>
      <c r="U14" s="69" t="s">
        <v>64</v>
      </c>
      <c r="V14" s="70"/>
      <c r="W14" s="70"/>
      <c r="X14" s="70"/>
      <c r="Y14" s="71"/>
      <c r="Z14" s="9"/>
      <c r="AA14" s="9"/>
      <c r="AB14" s="10"/>
      <c r="AD14" s="11"/>
      <c r="AF14" s="4" t="s">
        <v>83</v>
      </c>
      <c r="AG14" s="20">
        <f>[1]!FbRd(E6,E8,C20,C30,C26,,C24,C25,[1]!fub(E7),,J5)</f>
        <v>3669.333333333333</v>
      </c>
      <c r="AH14" t="s">
        <v>1</v>
      </c>
      <c r="AI14" s="11"/>
      <c r="AM14" s="12"/>
      <c r="AO14" s="11"/>
      <c r="AP14" s="4" t="s">
        <v>94</v>
      </c>
      <c r="AQ14" s="20">
        <f>[1]!FvrdBoulon(E6,E7,R2,E9,,J5)</f>
        <v>6028.8</v>
      </c>
      <c r="AR14" t="s">
        <v>1</v>
      </c>
      <c r="AS14" s="12"/>
      <c r="AW14" s="12"/>
    </row>
    <row r="15" spans="1:49" x14ac:dyDescent="0.25">
      <c r="A15" s="11"/>
      <c r="K15" s="12"/>
      <c r="U15" s="11" t="s">
        <v>4</v>
      </c>
      <c r="AB15" s="12"/>
      <c r="AD15" s="11"/>
      <c r="AI15" s="11"/>
      <c r="AM15" s="12"/>
      <c r="AO15" s="11"/>
      <c r="AS15" s="12"/>
      <c r="AW15" s="12"/>
    </row>
    <row r="16" spans="1:49" x14ac:dyDescent="0.25">
      <c r="A16" s="11"/>
      <c r="B16" s="3" t="s">
        <v>25</v>
      </c>
      <c r="K16" s="12"/>
      <c r="U16" s="11"/>
      <c r="AB16" s="12"/>
      <c r="AD16" s="11"/>
      <c r="AF16" s="4" t="s">
        <v>84</v>
      </c>
      <c r="AG16" s="18">
        <f>AG10/AG13</f>
        <v>0.58349303551004861</v>
      </c>
      <c r="AI16" s="11"/>
      <c r="AM16" s="12"/>
      <c r="AO16" s="13"/>
      <c r="AP16" s="29" t="s">
        <v>93</v>
      </c>
      <c r="AQ16" s="23">
        <f>AQ12/AQ14</f>
        <v>0.47684234512851909</v>
      </c>
      <c r="AR16" s="14"/>
      <c r="AS16" s="15"/>
      <c r="AT16" s="14"/>
      <c r="AU16" s="14"/>
      <c r="AV16" s="14"/>
      <c r="AW16" s="15"/>
    </row>
    <row r="17" spans="1:39" x14ac:dyDescent="0.25">
      <c r="A17" s="11"/>
      <c r="B17" t="s">
        <v>26</v>
      </c>
      <c r="C17" s="72" t="s">
        <v>10</v>
      </c>
      <c r="D17" s="73"/>
      <c r="K17" s="12"/>
      <c r="M17" s="26" t="s">
        <v>55</v>
      </c>
      <c r="N17" s="9"/>
      <c r="O17" s="10"/>
      <c r="U17" s="11"/>
      <c r="AB17" s="12"/>
      <c r="AD17" s="11"/>
      <c r="AF17" s="4" t="s">
        <v>85</v>
      </c>
      <c r="AG17" s="18">
        <f>AG11/AG14</f>
        <v>0.36719090661337217</v>
      </c>
      <c r="AI17" s="11"/>
      <c r="AM17" s="12"/>
    </row>
    <row r="18" spans="1:39" x14ac:dyDescent="0.25">
      <c r="A18" s="11"/>
      <c r="K18" s="12"/>
      <c r="M18" s="11"/>
      <c r="O18" s="12"/>
      <c r="U18" s="11" t="s">
        <v>68</v>
      </c>
      <c r="V18" s="6">
        <f>MIN(W19:W20)</f>
        <v>9225.3919999999998</v>
      </c>
      <c r="W18" t="s">
        <v>1</v>
      </c>
      <c r="AB18" s="12"/>
      <c r="AD18" s="11"/>
      <c r="AF18" s="4" t="s">
        <v>86</v>
      </c>
      <c r="AG18" s="18">
        <f>SQRT(AG16^2+AG17^2)</f>
        <v>0.68941517562951937</v>
      </c>
      <c r="AI18" s="11"/>
      <c r="AM18" s="12"/>
    </row>
    <row r="19" spans="1:39" x14ac:dyDescent="0.25">
      <c r="A19" s="11"/>
      <c r="B19" t="s">
        <v>23</v>
      </c>
      <c r="C19">
        <f>VLOOKUP(Calcul!$C$17,Listes!$A$3:$E$11,2,FALSE)</f>
        <v>60</v>
      </c>
      <c r="D19" t="s">
        <v>24</v>
      </c>
      <c r="K19" s="12"/>
      <c r="M19" s="11" t="s">
        <v>23</v>
      </c>
      <c r="O19" s="12" t="s">
        <v>24</v>
      </c>
      <c r="U19" s="11"/>
      <c r="V19" t="s">
        <v>66</v>
      </c>
      <c r="W19" s="6">
        <f>[2]!Nplrd(C22,C29,J5)</f>
        <v>19002.5</v>
      </c>
      <c r="X19" t="s">
        <v>1</v>
      </c>
      <c r="AB19" s="12"/>
      <c r="AD19" s="11"/>
      <c r="AF19" s="21" t="s">
        <v>89</v>
      </c>
      <c r="AG19" s="18">
        <f>MAX(AG16:AG18)</f>
        <v>0.68941517562951937</v>
      </c>
      <c r="AI19" s="11"/>
      <c r="AK19" s="4" t="s">
        <v>89</v>
      </c>
      <c r="AL19" s="18">
        <f>MAX(AG19,AG31)</f>
        <v>0.68941517562951937</v>
      </c>
      <c r="AM19" s="12"/>
    </row>
    <row r="20" spans="1:39" x14ac:dyDescent="0.25">
      <c r="A20" s="11"/>
      <c r="B20" t="s">
        <v>28</v>
      </c>
      <c r="C20">
        <f>VLOOKUP(Calcul!$C$17,Listes!$A$3:$E$11,3,FALSE)</f>
        <v>6</v>
      </c>
      <c r="D20" t="s">
        <v>24</v>
      </c>
      <c r="K20" s="12"/>
      <c r="M20" s="11" t="s">
        <v>28</v>
      </c>
      <c r="O20" s="12" t="s">
        <v>24</v>
      </c>
      <c r="U20" s="11"/>
      <c r="V20" t="s">
        <v>67</v>
      </c>
      <c r="W20" s="6">
        <f>[1]!NurdL(C22-E8*C20,C30,E8,C25,E5,J5)</f>
        <v>9225.3919999999998</v>
      </c>
      <c r="X20" t="s">
        <v>1</v>
      </c>
      <c r="AB20" s="12"/>
      <c r="AD20" s="11"/>
      <c r="AI20" s="11"/>
      <c r="AK20" s="4" t="s">
        <v>95</v>
      </c>
      <c r="AL20" s="20">
        <f>X3/AL19</f>
        <v>7367.1137212235853</v>
      </c>
      <c r="AM20" s="12" t="s">
        <v>1</v>
      </c>
    </row>
    <row r="21" spans="1:39" x14ac:dyDescent="0.25">
      <c r="A21" s="11"/>
      <c r="B21" t="s">
        <v>29</v>
      </c>
      <c r="C21">
        <f>VLOOKUP(Calcul!$C$17,Listes!$A$3:$E$11,4,FALSE)</f>
        <v>16.899999999999999</v>
      </c>
      <c r="D21" t="s">
        <v>24</v>
      </c>
      <c r="K21" s="12"/>
      <c r="M21" s="11" t="s">
        <v>29</v>
      </c>
      <c r="O21" s="12" t="s">
        <v>24</v>
      </c>
      <c r="U21" s="13"/>
      <c r="V21" s="14" t="s">
        <v>65</v>
      </c>
      <c r="W21" s="14"/>
      <c r="X21" s="14"/>
      <c r="Y21" s="14"/>
      <c r="Z21" s="14"/>
      <c r="AA21" s="14"/>
      <c r="AB21" s="15"/>
      <c r="AD21" s="19" t="s">
        <v>87</v>
      </c>
      <c r="AI21" s="11"/>
      <c r="AM21" s="12"/>
    </row>
    <row r="22" spans="1:39" x14ac:dyDescent="0.25">
      <c r="A22" s="11"/>
      <c r="B22" t="s">
        <v>41</v>
      </c>
      <c r="C22">
        <f>VLOOKUP(Calcul!$C$17,Listes!$A$3:$E$11,5,FALSE)</f>
        <v>691</v>
      </c>
      <c r="D22" t="s">
        <v>42</v>
      </c>
      <c r="K22" s="12"/>
      <c r="M22" s="11" t="s">
        <v>41</v>
      </c>
      <c r="O22" s="12" t="s">
        <v>42</v>
      </c>
      <c r="AD22" s="11"/>
      <c r="AF22" s="4" t="s">
        <v>77</v>
      </c>
      <c r="AG22">
        <f>$X$3/$E$5</f>
        <v>2539.5</v>
      </c>
      <c r="AH22" t="s">
        <v>1</v>
      </c>
      <c r="AI22" s="11"/>
      <c r="AM22" s="12"/>
    </row>
    <row r="23" spans="1:39" x14ac:dyDescent="0.25">
      <c r="A23" s="11"/>
      <c r="K23" s="12"/>
      <c r="M23" s="13"/>
      <c r="N23" s="14"/>
      <c r="O23" s="15"/>
      <c r="AD23" s="11"/>
      <c r="AF23" s="4" t="s">
        <v>78</v>
      </c>
      <c r="AG23">
        <f>$X$3*($C$19-$C$21-$C$26)*$V$11/$V$9</f>
        <v>0</v>
      </c>
      <c r="AH23" t="s">
        <v>1</v>
      </c>
      <c r="AI23" s="11"/>
      <c r="AM23" s="12"/>
    </row>
    <row r="24" spans="1:39" ht="21" x14ac:dyDescent="0.35">
      <c r="A24" s="11"/>
      <c r="B24" t="s">
        <v>15</v>
      </c>
      <c r="C24" s="2">
        <v>35</v>
      </c>
      <c r="D24" t="s">
        <v>24</v>
      </c>
      <c r="K24" s="12"/>
      <c r="U24" s="69" t="s">
        <v>69</v>
      </c>
      <c r="V24" s="70"/>
      <c r="W24" s="70"/>
      <c r="X24" s="70"/>
      <c r="Y24" s="71"/>
      <c r="Z24" s="9"/>
      <c r="AA24" s="9"/>
      <c r="AB24" s="10"/>
      <c r="AD24" s="11"/>
      <c r="AI24" s="11"/>
      <c r="AM24" s="12"/>
    </row>
    <row r="25" spans="1:39" x14ac:dyDescent="0.25">
      <c r="A25" s="11"/>
      <c r="B25" t="s">
        <v>16</v>
      </c>
      <c r="C25" s="2">
        <v>72</v>
      </c>
      <c r="D25" t="s">
        <v>24</v>
      </c>
      <c r="K25" s="12"/>
      <c r="U25" s="11" t="s">
        <v>2</v>
      </c>
      <c r="AB25" s="12"/>
      <c r="AD25" s="11"/>
      <c r="AF25" s="4" t="s">
        <v>82</v>
      </c>
      <c r="AG25">
        <f>[1]!FbRd(E6,E8,C20,C30,,C25,C26,,[1]!fub(E7),,J5)</f>
        <v>6714.88</v>
      </c>
      <c r="AH25" t="s">
        <v>1</v>
      </c>
      <c r="AI25" s="11"/>
      <c r="AM25" s="12"/>
    </row>
    <row r="26" spans="1:39" x14ac:dyDescent="0.25">
      <c r="A26" s="11"/>
      <c r="B26" t="s">
        <v>19</v>
      </c>
      <c r="C26" s="2">
        <f>60-36</f>
        <v>24</v>
      </c>
      <c r="D26" t="s">
        <v>24</v>
      </c>
      <c r="K26" s="12"/>
      <c r="U26" s="11"/>
      <c r="AB26" s="12"/>
      <c r="AD26" s="11"/>
      <c r="AF26" s="4" t="s">
        <v>83</v>
      </c>
      <c r="AG26" s="20">
        <f>[1]!FbRd(E6,E8,C20,C30,C26,,,C25,[1]!fub(E7),,J5)</f>
        <v>3669.333333333333</v>
      </c>
      <c r="AH26" t="s">
        <v>1</v>
      </c>
      <c r="AI26" s="11"/>
      <c r="AM26" s="12"/>
    </row>
    <row r="27" spans="1:39" x14ac:dyDescent="0.25">
      <c r="A27" s="11"/>
      <c r="B27" s="3"/>
      <c r="K27" s="12"/>
      <c r="U27" s="11"/>
      <c r="AB27" s="12"/>
      <c r="AD27" s="11"/>
      <c r="AI27" s="11"/>
      <c r="AM27" s="12"/>
    </row>
    <row r="28" spans="1:39" x14ac:dyDescent="0.25">
      <c r="A28" s="11"/>
      <c r="B28" t="s">
        <v>43</v>
      </c>
      <c r="C28" s="72" t="s">
        <v>46</v>
      </c>
      <c r="D28" s="73"/>
      <c r="K28" s="12"/>
      <c r="M28" s="26" t="s">
        <v>55</v>
      </c>
      <c r="N28" s="9"/>
      <c r="O28" s="10"/>
      <c r="U28" s="11" t="s">
        <v>73</v>
      </c>
      <c r="V28" s="6">
        <f>[1]!Veff2Rd(W29,W30,C30,C29,J5)</f>
        <v>9169.0235533030609</v>
      </c>
      <c r="W28" t="s">
        <v>1</v>
      </c>
      <c r="AB28" s="12"/>
      <c r="AD28" s="11"/>
      <c r="AF28" s="4" t="s">
        <v>84</v>
      </c>
      <c r="AG28" s="18">
        <f>AG22/AG25</f>
        <v>0.37818993042317955</v>
      </c>
      <c r="AI28" s="11"/>
      <c r="AM28" s="12"/>
    </row>
    <row r="29" spans="1:39" x14ac:dyDescent="0.25">
      <c r="A29" s="11"/>
      <c r="B29" t="s">
        <v>51</v>
      </c>
      <c r="C29">
        <f>IF(C28&lt;&gt;"Personnalisée",VLOOKUP($C$28,Listes!P2:R4,2,FALSE),N29)</f>
        <v>275</v>
      </c>
      <c r="D29" t="s">
        <v>52</v>
      </c>
      <c r="K29" s="12"/>
      <c r="M29" s="11" t="s">
        <v>56</v>
      </c>
      <c r="N29">
        <v>0</v>
      </c>
      <c r="O29" s="12" t="s">
        <v>52</v>
      </c>
      <c r="U29" s="11"/>
      <c r="V29" t="s">
        <v>74</v>
      </c>
      <c r="W29">
        <f>(C26-E8/2)*C20</f>
        <v>90</v>
      </c>
      <c r="X29" t="s">
        <v>42</v>
      </c>
      <c r="AB29" s="12"/>
      <c r="AD29" s="11"/>
      <c r="AF29" s="4" t="s">
        <v>85</v>
      </c>
      <c r="AG29" s="18">
        <f>AG23/AG26</f>
        <v>0</v>
      </c>
      <c r="AI29" s="11"/>
      <c r="AM29" s="12"/>
    </row>
    <row r="30" spans="1:39" x14ac:dyDescent="0.25">
      <c r="A30" s="11"/>
      <c r="B30" t="s">
        <v>53</v>
      </c>
      <c r="C30">
        <f>IF(C28&lt;&gt;"Personnalisée",VLOOKUP($C$28,Listes!P2:R4,3,FALSE),N30)</f>
        <v>430</v>
      </c>
      <c r="D30" t="s">
        <v>52</v>
      </c>
      <c r="K30" s="12"/>
      <c r="M30" s="11" t="s">
        <v>57</v>
      </c>
      <c r="N30">
        <v>0</v>
      </c>
      <c r="O30" s="12" t="s">
        <v>52</v>
      </c>
      <c r="U30" s="13"/>
      <c r="V30" s="14" t="s">
        <v>75</v>
      </c>
      <c r="W30" s="14">
        <f>((E5-1)*C25+C24-(E5-0.5)*E8)*C20</f>
        <v>480</v>
      </c>
      <c r="X30" s="14" t="s">
        <v>42</v>
      </c>
      <c r="Y30" s="14"/>
      <c r="Z30" s="14"/>
      <c r="AA30" s="14"/>
      <c r="AB30" s="15"/>
      <c r="AD30" s="11"/>
      <c r="AF30" s="4" t="s">
        <v>86</v>
      </c>
      <c r="AG30" s="18">
        <f>SQRT(AG28^2+AG29^2)</f>
        <v>0.37818993042317955</v>
      </c>
      <c r="AI30" s="11"/>
      <c r="AM30" s="12"/>
    </row>
    <row r="31" spans="1:39" x14ac:dyDescent="0.25">
      <c r="A31" s="11"/>
      <c r="K31" s="12"/>
      <c r="M31" s="13"/>
      <c r="N31" s="14"/>
      <c r="O31" s="15"/>
      <c r="AD31" s="13"/>
      <c r="AE31" s="14"/>
      <c r="AF31" s="22" t="s">
        <v>89</v>
      </c>
      <c r="AG31" s="23">
        <f>MAX(AG28:AG30)</f>
        <v>0.37818993042317955</v>
      </c>
      <c r="AH31" s="14"/>
      <c r="AI31" s="13"/>
      <c r="AJ31" s="14"/>
      <c r="AK31" s="14"/>
      <c r="AL31" s="14"/>
      <c r="AM31" s="15"/>
    </row>
    <row r="32" spans="1:39" x14ac:dyDescent="0.25">
      <c r="A32" s="11"/>
      <c r="K32" s="12"/>
    </row>
    <row r="33" spans="1:18" x14ac:dyDescent="0.25">
      <c r="A33" s="11"/>
      <c r="K33" s="12"/>
    </row>
    <row r="34" spans="1:18" x14ac:dyDescent="0.25">
      <c r="A34" s="11"/>
      <c r="K34" s="12"/>
    </row>
    <row r="35" spans="1:18" x14ac:dyDescent="0.25">
      <c r="A35" s="11"/>
      <c r="K35" s="12"/>
    </row>
    <row r="36" spans="1:18" ht="18.75" x14ac:dyDescent="0.3">
      <c r="A36" s="11"/>
      <c r="B36" s="60" t="s">
        <v>72</v>
      </c>
      <c r="C36" s="60"/>
      <c r="D36" s="61">
        <f>MIN(C64:C67)</f>
        <v>7367.1137212235853</v>
      </c>
      <c r="E36" s="61"/>
      <c r="F36" s="8" t="s">
        <v>1</v>
      </c>
      <c r="K36" s="12"/>
    </row>
    <row r="37" spans="1:18" x14ac:dyDescent="0.25">
      <c r="A37" s="13"/>
      <c r="B37" s="14"/>
      <c r="C37" s="14"/>
      <c r="D37" s="14"/>
      <c r="E37" s="14"/>
      <c r="F37" s="14"/>
      <c r="G37" s="14"/>
      <c r="H37" s="14"/>
      <c r="I37" s="14"/>
      <c r="J37" s="14"/>
      <c r="K37" s="15"/>
    </row>
    <row r="38" spans="1:18" x14ac:dyDescent="0.25">
      <c r="A38" s="62" t="s">
        <v>97</v>
      </c>
      <c r="B38" s="63"/>
      <c r="C38" s="63"/>
      <c r="D38" s="63"/>
      <c r="E38" s="63"/>
      <c r="F38" s="63"/>
      <c r="G38" s="63"/>
      <c r="H38" s="63"/>
      <c r="I38" s="63"/>
      <c r="J38" s="63"/>
      <c r="K38" s="64"/>
    </row>
    <row r="39" spans="1:18" x14ac:dyDescent="0.25">
      <c r="A39" s="65"/>
      <c r="B39" s="66"/>
      <c r="C39" s="66"/>
      <c r="D39" s="66"/>
      <c r="E39" s="66"/>
      <c r="F39" s="66"/>
      <c r="G39" s="66"/>
      <c r="H39" s="66"/>
      <c r="I39" s="66"/>
      <c r="J39" s="66"/>
      <c r="K39" s="67"/>
    </row>
    <row r="40" spans="1:18" x14ac:dyDescent="0.25">
      <c r="A40" s="11"/>
      <c r="B40" s="24" t="s">
        <v>27</v>
      </c>
      <c r="J40" s="16"/>
      <c r="K40" s="12"/>
      <c r="M40" s="74" t="s">
        <v>145</v>
      </c>
      <c r="N40" s="75"/>
      <c r="O40" s="75"/>
      <c r="P40" s="75"/>
      <c r="Q40" s="75"/>
      <c r="R40" s="76"/>
    </row>
    <row r="41" spans="1:18" x14ac:dyDescent="0.25">
      <c r="A41" s="11"/>
      <c r="J41" s="16"/>
      <c r="K41" s="12"/>
      <c r="M41" s="77"/>
      <c r="N41" s="78"/>
      <c r="O41" s="78"/>
      <c r="P41" s="78"/>
      <c r="Q41" s="78"/>
      <c r="R41" s="79"/>
    </row>
    <row r="42" spans="1:18" x14ac:dyDescent="0.25">
      <c r="A42" s="11"/>
      <c r="B42" t="s">
        <v>109</v>
      </c>
      <c r="J42" s="16"/>
      <c r="K42" s="12"/>
      <c r="M42" s="80"/>
      <c r="N42" s="81"/>
      <c r="O42" s="81"/>
      <c r="P42" s="81"/>
      <c r="Q42" s="81"/>
      <c r="R42" s="82"/>
    </row>
    <row r="43" spans="1:18" x14ac:dyDescent="0.25">
      <c r="A43" s="11"/>
      <c r="B43" t="s">
        <v>119</v>
      </c>
      <c r="J43" s="16"/>
      <c r="K43" s="12"/>
    </row>
    <row r="44" spans="1:18" x14ac:dyDescent="0.25">
      <c r="A44" s="11"/>
      <c r="K44" s="12"/>
    </row>
    <row r="45" spans="1:18" x14ac:dyDescent="0.25">
      <c r="A45" s="11"/>
      <c r="B45" t="s">
        <v>111</v>
      </c>
      <c r="C45" s="2">
        <v>6</v>
      </c>
      <c r="D45" t="s">
        <v>24</v>
      </c>
      <c r="K45" s="12"/>
    </row>
    <row r="46" spans="1:18" x14ac:dyDescent="0.25">
      <c r="A46" s="11"/>
      <c r="B46" t="s">
        <v>43</v>
      </c>
      <c r="C46" s="72" t="s">
        <v>47</v>
      </c>
      <c r="D46" s="73"/>
      <c r="K46" s="12"/>
    </row>
    <row r="47" spans="1:18" x14ac:dyDescent="0.25">
      <c r="A47" s="11"/>
      <c r="B47" t="s">
        <v>51</v>
      </c>
      <c r="C47">
        <f>IF(C46&lt;&gt;"Personnalisée",VLOOKUP(C46,Listes!P2:R4,2,FALSE),N49)</f>
        <v>355</v>
      </c>
      <c r="D47" t="s">
        <v>52</v>
      </c>
      <c r="K47" s="12"/>
    </row>
    <row r="48" spans="1:18" x14ac:dyDescent="0.25">
      <c r="A48" s="11"/>
      <c r="B48" t="s">
        <v>53</v>
      </c>
      <c r="C48">
        <f>IF(C46&lt;&gt;"Personnalisée",VLOOKUP(C46,Listes!P2:R4,3,FALSE),N50)</f>
        <v>490</v>
      </c>
      <c r="D48" t="s">
        <v>52</v>
      </c>
      <c r="K48" s="12"/>
      <c r="M48" s="26" t="s">
        <v>55</v>
      </c>
      <c r="N48" s="9"/>
      <c r="O48" s="10"/>
    </row>
    <row r="49" spans="1:39" ht="15" customHeight="1" x14ac:dyDescent="0.25">
      <c r="A49" s="11"/>
      <c r="K49" s="12"/>
      <c r="M49" s="11" t="s">
        <v>56</v>
      </c>
      <c r="N49">
        <v>0</v>
      </c>
      <c r="O49" s="12" t="s">
        <v>52</v>
      </c>
      <c r="P49" s="32"/>
      <c r="Q49" s="32"/>
      <c r="R49" s="32"/>
    </row>
    <row r="50" spans="1:39" x14ac:dyDescent="0.25">
      <c r="A50" s="11"/>
      <c r="B50" t="s">
        <v>116</v>
      </c>
      <c r="D50" s="68" t="s">
        <v>115</v>
      </c>
      <c r="E50" s="68"/>
      <c r="K50" s="12"/>
      <c r="M50" s="11" t="s">
        <v>57</v>
      </c>
      <c r="N50">
        <v>0</v>
      </c>
      <c r="O50" s="12" t="s">
        <v>52</v>
      </c>
      <c r="P50" s="32"/>
      <c r="Q50" s="32"/>
      <c r="R50" s="32"/>
    </row>
    <row r="51" spans="1:39" x14ac:dyDescent="0.25">
      <c r="A51" s="11"/>
      <c r="K51" s="12"/>
      <c r="M51" s="13"/>
      <c r="N51" s="14"/>
      <c r="O51" s="15"/>
      <c r="P51" s="32"/>
      <c r="Q51" s="32"/>
      <c r="R51" s="32"/>
    </row>
    <row r="52" spans="1:39" ht="21" x14ac:dyDescent="0.35">
      <c r="A52" s="11"/>
      <c r="C52" t="s">
        <v>117</v>
      </c>
      <c r="D52" s="20">
        <f>(E5-1)*C25*TAN(RADIANS(30))</f>
        <v>41.569219381653056</v>
      </c>
      <c r="E52" t="s">
        <v>24</v>
      </c>
      <c r="K52" s="12"/>
      <c r="U52" s="69" t="s">
        <v>118</v>
      </c>
      <c r="V52" s="70"/>
      <c r="W52" s="70"/>
      <c r="X52" s="70"/>
      <c r="Y52" s="71"/>
      <c r="Z52" s="9"/>
      <c r="AA52" s="9"/>
      <c r="AB52" s="9"/>
      <c r="AC52" s="9"/>
      <c r="AD52" s="10"/>
      <c r="AF52" s="69" t="s">
        <v>141</v>
      </c>
      <c r="AG52" s="70"/>
      <c r="AH52" s="70"/>
      <c r="AI52" s="70"/>
      <c r="AJ52" s="71"/>
      <c r="AK52" s="9"/>
      <c r="AL52" s="9"/>
      <c r="AM52" s="10"/>
    </row>
    <row r="53" spans="1:39" x14ac:dyDescent="0.25">
      <c r="A53" s="11"/>
      <c r="C53" t="s">
        <v>120</v>
      </c>
      <c r="D53" s="20">
        <f>D52*IF(D50="Symétrique",2,1)+IF(D50="Symétrique",0,MIN(C26,C19-C26))</f>
        <v>65.569219381653056</v>
      </c>
      <c r="E53" t="s">
        <v>24</v>
      </c>
      <c r="K53" s="12"/>
      <c r="U53" s="11" t="s">
        <v>144</v>
      </c>
      <c r="AD53" s="12"/>
      <c r="AF53" s="11" t="s">
        <v>2</v>
      </c>
      <c r="AM53" s="12"/>
    </row>
    <row r="54" spans="1:39" x14ac:dyDescent="0.25">
      <c r="A54" s="11"/>
      <c r="K54" s="12"/>
      <c r="U54" s="19" t="s">
        <v>76</v>
      </c>
      <c r="Z54" s="11"/>
      <c r="AD54" s="12"/>
      <c r="AF54" s="11"/>
      <c r="AM54" s="12"/>
    </row>
    <row r="55" spans="1:39" x14ac:dyDescent="0.25">
      <c r="A55" s="11"/>
      <c r="K55" s="12"/>
      <c r="U55" s="11"/>
      <c r="W55" s="4" t="s">
        <v>77</v>
      </c>
      <c r="X55">
        <f>$X$3/$E$5</f>
        <v>2539.5</v>
      </c>
      <c r="Y55" t="s">
        <v>1</v>
      </c>
      <c r="Z55" s="11"/>
      <c r="AD55" s="12"/>
      <c r="AF55" s="11"/>
      <c r="AM55" s="12"/>
    </row>
    <row r="56" spans="1:39" x14ac:dyDescent="0.25">
      <c r="A56" s="11"/>
      <c r="K56" s="12"/>
      <c r="U56" s="11"/>
      <c r="W56" s="4" t="s">
        <v>78</v>
      </c>
      <c r="X56" s="20">
        <f>$X$3*($C$19-$C$21-$C$26)*$V$10/$V$9</f>
        <v>1347.3458333333335</v>
      </c>
      <c r="Y56" t="s">
        <v>1</v>
      </c>
      <c r="Z56" s="11"/>
      <c r="AD56" s="12"/>
      <c r="AF56" s="11" t="s">
        <v>73</v>
      </c>
      <c r="AG56" s="6">
        <f>[1]!Veff2Rd(AH57,AH58,C48,C47,J5)</f>
        <v>11602.048586991225</v>
      </c>
      <c r="AH56" t="s">
        <v>1</v>
      </c>
      <c r="AM56" s="12"/>
    </row>
    <row r="57" spans="1:39" x14ac:dyDescent="0.25">
      <c r="A57" s="11"/>
      <c r="K57" s="12"/>
      <c r="U57" s="11"/>
      <c r="Z57" s="11"/>
      <c r="AD57" s="12"/>
      <c r="AF57" s="11"/>
      <c r="AG57" t="s">
        <v>74</v>
      </c>
      <c r="AH57" s="20">
        <f>(IF(D50="Symétrique",D52,MIN(C26,C19-C26))-0.5*E8)*C45</f>
        <v>90</v>
      </c>
      <c r="AI57" t="s">
        <v>42</v>
      </c>
      <c r="AM57" s="12"/>
    </row>
    <row r="58" spans="1:39" ht="18.75" x14ac:dyDescent="0.3">
      <c r="A58" s="11"/>
      <c r="B58" s="60" t="s">
        <v>72</v>
      </c>
      <c r="C58" s="60"/>
      <c r="D58" s="61">
        <f>MIN(C68:C71)</f>
        <v>8395.0830776733892</v>
      </c>
      <c r="E58" s="61"/>
      <c r="F58" s="8" t="s">
        <v>1</v>
      </c>
      <c r="K58" s="12"/>
      <c r="U58" s="11"/>
      <c r="W58" s="4" t="s">
        <v>82</v>
      </c>
      <c r="X58" s="20">
        <f>[1]!FbRd(E6,E8,C45,C48,C24,,C26,,[1]!fub(E7),,J5)</f>
        <v>4959.5259259259246</v>
      </c>
      <c r="Y58" t="s">
        <v>1</v>
      </c>
      <c r="Z58" s="11"/>
      <c r="AD58" s="12"/>
      <c r="AF58" s="13"/>
      <c r="AG58" s="14" t="s">
        <v>75</v>
      </c>
      <c r="AH58" s="14">
        <f>((E5-1)*C25+C24-(E5-0.5)*E8)*C45</f>
        <v>480</v>
      </c>
      <c r="AI58" s="14" t="s">
        <v>42</v>
      </c>
      <c r="AJ58" s="14"/>
      <c r="AK58" s="14"/>
      <c r="AL58" s="14"/>
      <c r="AM58" s="15"/>
    </row>
    <row r="59" spans="1:39" x14ac:dyDescent="0.25">
      <c r="A59" s="13"/>
      <c r="B59" s="14"/>
      <c r="C59" s="14"/>
      <c r="D59" s="14"/>
      <c r="E59" s="14"/>
      <c r="F59" s="14"/>
      <c r="G59" s="14"/>
      <c r="H59" s="14"/>
      <c r="I59" s="14"/>
      <c r="J59" s="14"/>
      <c r="K59" s="15"/>
      <c r="U59" s="11"/>
      <c r="W59" s="4" t="s">
        <v>83</v>
      </c>
      <c r="X59" s="20">
        <f>[1]!FbRd(E6,E8,C45,C48,C26,,C24,C25,[1]!fub(E7),,J5)</f>
        <v>4181.3333333333339</v>
      </c>
      <c r="Y59" t="s">
        <v>1</v>
      </c>
      <c r="Z59" s="11"/>
      <c r="AD59" s="12"/>
    </row>
    <row r="60" spans="1:39" x14ac:dyDescent="0.25">
      <c r="U60" s="11"/>
      <c r="Z60" s="11"/>
      <c r="AD60" s="12"/>
    </row>
    <row r="61" spans="1:39" x14ac:dyDescent="0.25">
      <c r="U61" s="11"/>
      <c r="W61" s="4" t="s">
        <v>84</v>
      </c>
      <c r="X61" s="18">
        <f>X55/X58</f>
        <v>0.51204490871289976</v>
      </c>
      <c r="Z61" s="11"/>
      <c r="AD61" s="12"/>
    </row>
    <row r="62" spans="1:39" x14ac:dyDescent="0.25">
      <c r="B62" t="s">
        <v>142</v>
      </c>
      <c r="J62" s="4" t="s">
        <v>70</v>
      </c>
      <c r="U62" s="11"/>
      <c r="W62" s="4" t="s">
        <v>85</v>
      </c>
      <c r="X62" s="18">
        <f>X56/X59</f>
        <v>0.32222875478316326</v>
      </c>
      <c r="Z62" s="11"/>
      <c r="AD62" s="12"/>
    </row>
    <row r="63" spans="1:39" x14ac:dyDescent="0.25">
      <c r="U63" s="11"/>
      <c r="W63" s="4" t="s">
        <v>86</v>
      </c>
      <c r="X63" s="18">
        <f>SQRT(X61^2+X62^2)</f>
        <v>0.60499699085855774</v>
      </c>
      <c r="Z63" s="11"/>
      <c r="AD63" s="12"/>
    </row>
    <row r="64" spans="1:39" x14ac:dyDescent="0.25">
      <c r="B64" t="s">
        <v>68</v>
      </c>
      <c r="C64" s="6">
        <f>V18</f>
        <v>9225.3919999999998</v>
      </c>
      <c r="D64" t="s">
        <v>1</v>
      </c>
      <c r="E64" s="1" t="s">
        <v>121</v>
      </c>
      <c r="J64" s="16">
        <f t="shared" ref="J64:J71" si="0">$X$3/C64</f>
        <v>0.55054571122831419</v>
      </c>
      <c r="U64" s="11"/>
      <c r="W64" s="21" t="s">
        <v>89</v>
      </c>
      <c r="X64" s="18">
        <f>MAX(X61:X63)</f>
        <v>0.60499699085855774</v>
      </c>
      <c r="Z64" s="11"/>
      <c r="AB64" s="4" t="s">
        <v>89</v>
      </c>
      <c r="AC64" s="18">
        <f>MAX(X64,X76)</f>
        <v>0.60499699085855774</v>
      </c>
      <c r="AD64" s="12"/>
    </row>
    <row r="65" spans="2:30" x14ac:dyDescent="0.25">
      <c r="B65" t="s">
        <v>98</v>
      </c>
      <c r="C65" s="6">
        <f>V28</f>
        <v>9169.0235533030609</v>
      </c>
      <c r="D65" t="s">
        <v>1</v>
      </c>
      <c r="E65" t="s">
        <v>122</v>
      </c>
      <c r="J65" s="16">
        <f t="shared" si="0"/>
        <v>0.55393030353492057</v>
      </c>
      <c r="U65" s="11"/>
      <c r="Z65" s="11"/>
      <c r="AB65" s="4" t="s">
        <v>95</v>
      </c>
      <c r="AC65" s="20">
        <f>X3/AC64</f>
        <v>8395.0830776733892</v>
      </c>
      <c r="AD65" s="12" t="s">
        <v>1</v>
      </c>
    </row>
    <row r="66" spans="2:30" x14ac:dyDescent="0.25">
      <c r="B66" t="s">
        <v>99</v>
      </c>
      <c r="C66" s="6">
        <f>AL20</f>
        <v>7367.1137212235853</v>
      </c>
      <c r="D66" t="s">
        <v>1</v>
      </c>
      <c r="E66" t="s">
        <v>123</v>
      </c>
      <c r="J66" s="16">
        <f t="shared" si="0"/>
        <v>0.68941517562951937</v>
      </c>
      <c r="U66" s="19" t="s">
        <v>87</v>
      </c>
      <c r="Z66" s="11"/>
      <c r="AD66" s="12"/>
    </row>
    <row r="67" spans="2:30" x14ac:dyDescent="0.25">
      <c r="B67" t="s">
        <v>100</v>
      </c>
      <c r="C67" s="6">
        <f>AW13</f>
        <v>10651.319145389871</v>
      </c>
      <c r="D67" t="s">
        <v>1</v>
      </c>
      <c r="E67" t="s">
        <v>3</v>
      </c>
      <c r="J67" s="16">
        <f t="shared" si="0"/>
        <v>0.47684234512851914</v>
      </c>
      <c r="U67" s="11"/>
      <c r="W67" s="4" t="s">
        <v>77</v>
      </c>
      <c r="X67">
        <f>$X$3/$E$5</f>
        <v>2539.5</v>
      </c>
      <c r="Y67" t="s">
        <v>1</v>
      </c>
      <c r="Z67" s="11"/>
      <c r="AD67" s="12"/>
    </row>
    <row r="68" spans="2:30" x14ac:dyDescent="0.25">
      <c r="B68" t="s">
        <v>101</v>
      </c>
      <c r="C68" s="6">
        <f>AC65</f>
        <v>8395.0830776733892</v>
      </c>
      <c r="D68" t="s">
        <v>1</v>
      </c>
      <c r="E68" t="s">
        <v>102</v>
      </c>
      <c r="J68" s="18">
        <f t="shared" si="0"/>
        <v>0.60499699085855774</v>
      </c>
      <c r="U68" s="11"/>
      <c r="W68" s="4" t="s">
        <v>78</v>
      </c>
      <c r="X68">
        <f>$X$3*($C$19-$C$21-$C$26)*$V$11/$V$9</f>
        <v>0</v>
      </c>
      <c r="Y68" t="s">
        <v>1</v>
      </c>
      <c r="Z68" s="11"/>
      <c r="AD68" s="12"/>
    </row>
    <row r="69" spans="2:30" x14ac:dyDescent="0.25">
      <c r="B69" t="s">
        <v>103</v>
      </c>
      <c r="C69" s="6">
        <f>C45*D53*C47/[2]!GammaM("m0",J5)/10</f>
        <v>13966.243728292102</v>
      </c>
      <c r="D69" t="s">
        <v>1</v>
      </c>
      <c r="E69" t="s">
        <v>104</v>
      </c>
      <c r="J69" s="18">
        <f t="shared" si="0"/>
        <v>0.36366256373653438</v>
      </c>
      <c r="U69" s="11"/>
      <c r="Z69" s="11"/>
      <c r="AD69" s="12"/>
    </row>
    <row r="70" spans="2:30" x14ac:dyDescent="0.25">
      <c r="B70" t="s">
        <v>105</v>
      </c>
      <c r="C70" s="6">
        <f>0.9*C45*(D53-E8)*C48/[2]!GammaM("m2",J5)/10</f>
        <v>10069.452358708319</v>
      </c>
      <c r="D70" t="s">
        <v>1</v>
      </c>
      <c r="E70" t="s">
        <v>106</v>
      </c>
      <c r="J70" s="18">
        <f t="shared" si="0"/>
        <v>0.50439684493939252</v>
      </c>
      <c r="U70" s="11"/>
      <c r="W70" s="4" t="s">
        <v>82</v>
      </c>
      <c r="X70">
        <f>[1]!FbRd(E6,E8,C45,C48,,C25,C26,,[1]!fub(E7),,J5)</f>
        <v>7651.8399999999992</v>
      </c>
      <c r="Y70" t="s">
        <v>1</v>
      </c>
      <c r="Z70" s="11"/>
      <c r="AD70" s="12"/>
    </row>
    <row r="71" spans="2:30" x14ac:dyDescent="0.25">
      <c r="B71" t="s">
        <v>107</v>
      </c>
      <c r="C71" s="6">
        <f>AG56</f>
        <v>11602.048586991225</v>
      </c>
      <c r="D71" t="s">
        <v>1</v>
      </c>
      <c r="E71" t="s">
        <v>108</v>
      </c>
      <c r="J71" s="18">
        <f t="shared" si="0"/>
        <v>0.43776751682412529</v>
      </c>
      <c r="U71" s="11"/>
      <c r="W71" s="4" t="s">
        <v>83</v>
      </c>
      <c r="X71" s="20">
        <f>[1]!FbRd(E6,E8,C45,C48,C26,,,C25,[1]!fub(E7),,J5)</f>
        <v>4181.3333333333339</v>
      </c>
      <c r="Y71" t="s">
        <v>1</v>
      </c>
      <c r="Z71" s="11"/>
      <c r="AD71" s="12"/>
    </row>
    <row r="72" spans="2:30" x14ac:dyDescent="0.25">
      <c r="U72" s="11"/>
      <c r="Z72" s="11"/>
      <c r="AD72" s="12"/>
    </row>
    <row r="73" spans="2:30" x14ac:dyDescent="0.25">
      <c r="U73" s="11"/>
      <c r="W73" s="4" t="s">
        <v>84</v>
      </c>
      <c r="X73" s="18">
        <f>X67/X70</f>
        <v>0.33188095935095352</v>
      </c>
      <c r="Z73" s="11"/>
      <c r="AD73" s="12"/>
    </row>
    <row r="74" spans="2:30" x14ac:dyDescent="0.25">
      <c r="U74" s="11"/>
      <c r="W74" s="4" t="s">
        <v>85</v>
      </c>
      <c r="X74" s="18">
        <f>X68/X71</f>
        <v>0</v>
      </c>
      <c r="Z74" s="11"/>
      <c r="AD74" s="12"/>
    </row>
    <row r="75" spans="2:30" x14ac:dyDescent="0.25">
      <c r="U75" s="11"/>
      <c r="W75" s="4" t="s">
        <v>86</v>
      </c>
      <c r="X75" s="18">
        <f>SQRT(X73^2+X74^2)</f>
        <v>0.33188095935095352</v>
      </c>
      <c r="Z75" s="11"/>
      <c r="AD75" s="12"/>
    </row>
    <row r="76" spans="2:30" x14ac:dyDescent="0.25">
      <c r="U76" s="13"/>
      <c r="V76" s="14"/>
      <c r="W76" s="22" t="s">
        <v>89</v>
      </c>
      <c r="X76" s="23">
        <f>MAX(X73:X75)</f>
        <v>0.33188095935095352</v>
      </c>
      <c r="Y76" s="14"/>
      <c r="Z76" s="13"/>
      <c r="AA76" s="14"/>
      <c r="AB76" s="14"/>
      <c r="AC76" s="14"/>
      <c r="AD76" s="15"/>
    </row>
    <row r="83" spans="10:10" x14ac:dyDescent="0.25">
      <c r="J83" s="4"/>
    </row>
  </sheetData>
  <mergeCells count="19">
    <mergeCell ref="X3:Y3"/>
    <mergeCell ref="B36:C36"/>
    <mergeCell ref="D36:E36"/>
    <mergeCell ref="A1:K2"/>
    <mergeCell ref="AO7:AS7"/>
    <mergeCell ref="U14:Y14"/>
    <mergeCell ref="U24:Y24"/>
    <mergeCell ref="C17:D17"/>
    <mergeCell ref="C28:D28"/>
    <mergeCell ref="AA3:AO3"/>
    <mergeCell ref="B58:C58"/>
    <mergeCell ref="D58:E58"/>
    <mergeCell ref="A38:K39"/>
    <mergeCell ref="D50:E50"/>
    <mergeCell ref="AD7:AH7"/>
    <mergeCell ref="U52:Y52"/>
    <mergeCell ref="AF52:AJ52"/>
    <mergeCell ref="C46:D46"/>
    <mergeCell ref="M40:R42"/>
  </mergeCells>
  <conditionalFormatting sqref="N29:N30">
    <cfRule type="expression" dxfId="7" priority="7">
      <formula>$C$28&lt;&gt;"Personnalisée"</formula>
    </cfRule>
    <cfRule type="expression" dxfId="6" priority="12">
      <formula>$C$28="Personnalisée"</formula>
    </cfRule>
  </conditionalFormatting>
  <conditionalFormatting sqref="N19:N22">
    <cfRule type="expression" dxfId="5" priority="5">
      <formula>$C$17&lt;&gt;"Personnalisé"</formula>
    </cfRule>
    <cfRule type="expression" dxfId="4" priority="6">
      <formula>$C$17="Personnalisé"</formula>
    </cfRule>
  </conditionalFormatting>
  <conditionalFormatting sqref="J64:J71">
    <cfRule type="cellIs" dxfId="3" priority="8" operator="lessThan">
      <formula>1</formula>
    </cfRule>
    <cfRule type="cellIs" dxfId="2" priority="9" operator="greaterThan">
      <formula>1</formula>
    </cfRule>
  </conditionalFormatting>
  <conditionalFormatting sqref="N49:N50">
    <cfRule type="expression" dxfId="1" priority="13">
      <formula>$C$46&lt;&gt;"Personnalisée"</formula>
    </cfRule>
    <cfRule type="expression" dxfId="0" priority="14">
      <formula>$C$46="Personnalisée"</formula>
    </cfRule>
  </conditionalFormatting>
  <conditionalFormatting sqref="C64:C71">
    <cfRule type="dataBar" priority="1">
      <dataBar>
        <cfvo type="min"/>
        <cfvo type="max"/>
        <color rgb="FF008AEF"/>
      </dataBar>
      <extLst>
        <ext xmlns:x14="http://schemas.microsoft.com/office/spreadsheetml/2009/9/main" uri="{B025F937-C7B1-47D3-B67F-A62EFF666E3E}">
          <x14:id>{40540E5F-DCEE-42E5-B5F5-32366CFED466}</x14:id>
        </ext>
      </extLst>
    </cfRule>
  </conditionalFormatting>
  <dataValidations count="2">
    <dataValidation type="custom" allowBlank="1" showInputMessage="1" showErrorMessage="1" errorTitle="Valeur hors limite" error="Nombre de boulons requis &gt; 1 et maximum 5" prompt="Nombre de boulons requis &gt; 1 et maximum 5." sqref="E5" xr:uid="{00000000-0002-0000-0200-000000000000}">
      <formula1>AND((E5&gt;1),(E5&lt;=5))</formula1>
    </dataValidation>
    <dataValidation allowBlank="1" showInputMessage="1" showErrorMessage="1" prompt="Pour le calcul de la pression diamétrale et sections nettes." sqref="E8" xr:uid="{00000000-0002-0000-0200-000001000000}"/>
  </dataValidations>
  <pageMargins left="0.7" right="0.7" top="0.75" bottom="0.75" header="0.3" footer="0.3"/>
  <pageSetup paperSize="9" scale="19" orientation="portrait" r:id="rId1"/>
  <drawing r:id="rId2"/>
  <extLst>
    <ext xmlns:x14="http://schemas.microsoft.com/office/spreadsheetml/2009/9/main" uri="{78C0D931-6437-407d-A8EE-F0AAD7539E65}">
      <x14:conditionalFormattings>
        <x14:conditionalFormatting xmlns:xm="http://schemas.microsoft.com/office/excel/2006/main">
          <x14:cfRule type="dataBar" id="{40540E5F-DCEE-42E5-B5F5-32366CFED466}">
            <x14:dataBar minLength="0" maxLength="100" border="1" negativeBarBorderColorSameAsPositive="0">
              <x14:cfvo type="autoMin"/>
              <x14:cfvo type="autoMax"/>
              <x14:borderColor rgb="FF008AEF"/>
              <x14:negativeFillColor rgb="FFFF0000"/>
              <x14:negativeBorderColor rgb="FFFF0000"/>
              <x14:axisColor rgb="FF000000"/>
            </x14:dataBar>
          </x14:cfRule>
          <xm:sqref>C64:C71</xm:sqref>
        </x14:conditionalFormatting>
      </x14:conditionalFormattings>
    </ext>
    <ext xmlns:x14="http://schemas.microsoft.com/office/spreadsheetml/2009/9/main" uri="{CCE6A557-97BC-4b89-ADB6-D9C93CAAB3DF}">
      <x14:dataValidations xmlns:xm="http://schemas.microsoft.com/office/excel/2006/main" count="7">
        <x14:dataValidation type="list" allowBlank="1" showInputMessage="1" showErrorMessage="1" xr:uid="{00000000-0002-0000-0200-000002000000}">
          <x14:formula1>
            <xm:f>Listes!$A$3:$A$11</xm:f>
          </x14:formula1>
          <xm:sqref>C17</xm:sqref>
        </x14:dataValidation>
        <x14:dataValidation type="list" allowBlank="1" showInputMessage="1" showErrorMessage="1" xr:uid="{00000000-0002-0000-0200-000003000000}">
          <x14:formula1>
            <xm:f>Listes!$J$2:$J$3</xm:f>
          </x14:formula1>
          <xm:sqref>J5</xm:sqref>
        </x14:dataValidation>
        <x14:dataValidation type="list" allowBlank="1" showInputMessage="1" showErrorMessage="1" xr:uid="{00000000-0002-0000-0200-000004000000}">
          <x14:formula1>
            <xm:f>Listes!$L$2:$L$10</xm:f>
          </x14:formula1>
          <xm:sqref>E6</xm:sqref>
        </x14:dataValidation>
        <x14:dataValidation type="list" allowBlank="1" showInputMessage="1" showErrorMessage="1" xr:uid="{00000000-0002-0000-0200-000005000000}">
          <x14:formula1>
            <xm:f>Listes!$N$2:$N$3</xm:f>
          </x14:formula1>
          <xm:sqref>R2</xm:sqref>
        </x14:dataValidation>
        <x14:dataValidation type="list" allowBlank="1" showInputMessage="1" showErrorMessage="1" xr:uid="{00000000-0002-0000-0200-000006000000}">
          <x14:formula1>
            <xm:f>Listes!$P$2:$P$5</xm:f>
          </x14:formula1>
          <xm:sqref>C28 C46</xm:sqref>
        </x14:dataValidation>
        <x14:dataValidation type="list" allowBlank="1" showInputMessage="1" showErrorMessage="1" xr:uid="{00000000-0002-0000-0200-000007000000}">
          <x14:formula1>
            <xm:f>Listes!$T$2:$T$3</xm:f>
          </x14:formula1>
          <xm:sqref>D50</xm:sqref>
        </x14:dataValidation>
        <x14:dataValidation type="list" allowBlank="1" showInputMessage="1" showErrorMessage="1" xr:uid="{00000000-0002-0000-0200-000008000000}">
          <x14:formula1>
            <xm:f>Listes!$H$2:$H$8</xm:f>
          </x14:formula1>
          <xm:sqref>E7</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2"/>
  <dimension ref="A1:T11"/>
  <sheetViews>
    <sheetView workbookViewId="0">
      <selection activeCell="H12" sqref="H12"/>
    </sheetView>
  </sheetViews>
  <sheetFormatPr baseColWidth="10" defaultRowHeight="15" x14ac:dyDescent="0.25"/>
  <cols>
    <col min="16" max="16" width="13.7109375" customWidth="1"/>
    <col min="20" max="20" width="15.5703125" customWidth="1"/>
  </cols>
  <sheetData>
    <row r="1" spans="1:20" x14ac:dyDescent="0.25">
      <c r="A1" t="s">
        <v>5</v>
      </c>
      <c r="H1" s="5" t="s">
        <v>31</v>
      </c>
      <c r="J1" s="5" t="s">
        <v>33</v>
      </c>
      <c r="L1" s="5" t="s">
        <v>35</v>
      </c>
      <c r="N1" s="5" t="s">
        <v>40</v>
      </c>
      <c r="P1" s="5" t="s">
        <v>44</v>
      </c>
      <c r="Q1" s="5" t="s">
        <v>48</v>
      </c>
      <c r="R1" s="5" t="s">
        <v>49</v>
      </c>
      <c r="T1" s="5" t="s">
        <v>113</v>
      </c>
    </row>
    <row r="2" spans="1:20" x14ac:dyDescent="0.25">
      <c r="A2" s="5" t="s">
        <v>6</v>
      </c>
      <c r="B2" s="5" t="s">
        <v>20</v>
      </c>
      <c r="C2" s="5" t="s">
        <v>21</v>
      </c>
      <c r="D2" s="5" t="s">
        <v>22</v>
      </c>
      <c r="E2" s="5" t="s">
        <v>50</v>
      </c>
      <c r="H2" s="5" t="s">
        <v>156</v>
      </c>
      <c r="J2" s="5" t="str">
        <f>"EN"</f>
        <v>EN</v>
      </c>
      <c r="L2" s="5">
        <v>12</v>
      </c>
      <c r="N2" s="5" t="b">
        <f>TRUE</f>
        <v>1</v>
      </c>
      <c r="P2" s="5" t="s">
        <v>45</v>
      </c>
      <c r="Q2" s="5">
        <v>235</v>
      </c>
      <c r="R2" s="5">
        <v>360</v>
      </c>
      <c r="T2" s="5" t="s">
        <v>114</v>
      </c>
    </row>
    <row r="3" spans="1:20" x14ac:dyDescent="0.25">
      <c r="A3" s="5" t="s">
        <v>7</v>
      </c>
      <c r="B3" s="5">
        <v>30</v>
      </c>
      <c r="C3" s="5">
        <v>3</v>
      </c>
      <c r="D3" s="5">
        <v>8.35</v>
      </c>
      <c r="E3" s="5">
        <v>174</v>
      </c>
      <c r="H3" s="5" t="s">
        <v>155</v>
      </c>
      <c r="J3" s="5" t="str">
        <f>"NF"</f>
        <v>NF</v>
      </c>
      <c r="L3" s="5">
        <v>14</v>
      </c>
      <c r="N3" s="5" t="b">
        <f>FALSE</f>
        <v>0</v>
      </c>
      <c r="P3" s="5" t="s">
        <v>46</v>
      </c>
      <c r="Q3" s="5">
        <v>275</v>
      </c>
      <c r="R3" s="5">
        <v>430</v>
      </c>
      <c r="T3" s="5" t="s">
        <v>115</v>
      </c>
    </row>
    <row r="4" spans="1:20" x14ac:dyDescent="0.25">
      <c r="A4" s="5" t="s">
        <v>8</v>
      </c>
      <c r="B4" s="5">
        <v>40</v>
      </c>
      <c r="C4" s="5">
        <v>4</v>
      </c>
      <c r="D4" s="5">
        <v>11.2</v>
      </c>
      <c r="E4" s="5">
        <v>308</v>
      </c>
      <c r="H4" s="5" t="s">
        <v>157</v>
      </c>
      <c r="L4" s="5">
        <v>16</v>
      </c>
      <c r="P4" s="5" t="s">
        <v>47</v>
      </c>
      <c r="Q4" s="5">
        <v>355</v>
      </c>
      <c r="R4" s="5">
        <v>490</v>
      </c>
    </row>
    <row r="5" spans="1:20" x14ac:dyDescent="0.25">
      <c r="A5" s="5" t="s">
        <v>9</v>
      </c>
      <c r="B5" s="5">
        <v>50</v>
      </c>
      <c r="C5" s="5">
        <v>5</v>
      </c>
      <c r="D5" s="5">
        <v>14</v>
      </c>
      <c r="E5" s="5">
        <v>480</v>
      </c>
      <c r="H5" s="5" t="s">
        <v>158</v>
      </c>
      <c r="L5" s="5">
        <v>18</v>
      </c>
      <c r="P5" s="5" t="s">
        <v>58</v>
      </c>
      <c r="Q5" s="31" t="s">
        <v>112</v>
      </c>
      <c r="R5" s="31" t="s">
        <v>112</v>
      </c>
    </row>
    <row r="6" spans="1:20" x14ac:dyDescent="0.25">
      <c r="A6" s="5" t="s">
        <v>10</v>
      </c>
      <c r="B6" s="5">
        <v>60</v>
      </c>
      <c r="C6" s="5">
        <v>6</v>
      </c>
      <c r="D6" s="5">
        <v>16.899999999999999</v>
      </c>
      <c r="E6" s="5">
        <v>691</v>
      </c>
      <c r="H6" s="5" t="s">
        <v>159</v>
      </c>
      <c r="L6" s="5">
        <v>20</v>
      </c>
    </row>
    <row r="7" spans="1:20" x14ac:dyDescent="0.25">
      <c r="A7" s="5" t="s">
        <v>11</v>
      </c>
      <c r="B7" s="5">
        <v>70</v>
      </c>
      <c r="C7" s="5">
        <v>7</v>
      </c>
      <c r="D7" s="5">
        <v>19.7</v>
      </c>
      <c r="E7" s="5">
        <v>940</v>
      </c>
      <c r="H7" s="5" t="str">
        <f>"8.8"</f>
        <v>8.8</v>
      </c>
      <c r="L7" s="5">
        <v>22</v>
      </c>
    </row>
    <row r="8" spans="1:20" x14ac:dyDescent="0.25">
      <c r="A8" s="5" t="s">
        <v>12</v>
      </c>
      <c r="B8" s="5">
        <v>80</v>
      </c>
      <c r="C8" s="5">
        <v>8</v>
      </c>
      <c r="D8" s="5">
        <v>22.6</v>
      </c>
      <c r="E8" s="5">
        <v>1230</v>
      </c>
      <c r="H8" s="5" t="str">
        <f>"10.9"</f>
        <v>10.9</v>
      </c>
      <c r="L8" s="5">
        <v>24</v>
      </c>
    </row>
    <row r="9" spans="1:20" x14ac:dyDescent="0.25">
      <c r="A9" s="5" t="s">
        <v>13</v>
      </c>
      <c r="B9" s="5">
        <v>90</v>
      </c>
      <c r="C9" s="5">
        <v>9</v>
      </c>
      <c r="D9" s="5">
        <v>25.4</v>
      </c>
      <c r="E9" s="5">
        <v>1550</v>
      </c>
      <c r="L9" s="5">
        <v>27</v>
      </c>
    </row>
    <row r="10" spans="1:20" x14ac:dyDescent="0.25">
      <c r="A10" s="5" t="s">
        <v>14</v>
      </c>
      <c r="B10" s="5">
        <v>100</v>
      </c>
      <c r="C10" s="5">
        <v>10</v>
      </c>
      <c r="D10" s="5">
        <v>28.2</v>
      </c>
      <c r="E10" s="5">
        <v>1920</v>
      </c>
      <c r="L10" s="5">
        <v>30</v>
      </c>
    </row>
    <row r="11" spans="1:20" x14ac:dyDescent="0.25">
      <c r="A11" s="5" t="s">
        <v>17</v>
      </c>
      <c r="B11" s="31" t="s">
        <v>112</v>
      </c>
      <c r="C11" s="31" t="s">
        <v>112</v>
      </c>
      <c r="D11" s="31" t="s">
        <v>112</v>
      </c>
      <c r="E11" s="31" t="s">
        <v>112</v>
      </c>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4</vt:i4>
      </vt:variant>
      <vt:variant>
        <vt:lpstr>Plages nommées</vt:lpstr>
      </vt:variant>
      <vt:variant>
        <vt:i4>1</vt:i4>
      </vt:variant>
    </vt:vector>
  </HeadingPairs>
  <TitlesOfParts>
    <vt:vector size="5" baseType="lpstr">
      <vt:lpstr>Copyright</vt:lpstr>
      <vt:lpstr>Suivi</vt:lpstr>
      <vt:lpstr>Calcul</vt:lpstr>
      <vt:lpstr>Listes</vt:lpstr>
      <vt:lpstr>Choix</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Victor Bourgeois</dc:creator>
  <cp:lastModifiedBy>Victor BOURGEOIS</cp:lastModifiedBy>
  <cp:lastPrinted>2021-12-22T14:45:44Z</cp:lastPrinted>
  <dcterms:created xsi:type="dcterms:W3CDTF">2015-06-05T18:19:34Z</dcterms:created>
  <dcterms:modified xsi:type="dcterms:W3CDTF">2024-12-19T14:54:53Z</dcterms:modified>
</cp:coreProperties>
</file>