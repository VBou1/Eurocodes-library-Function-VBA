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Y:\BUREAU D'ETUDE\Excels\Assemblage par gousset simple\"/>
    </mc:Choice>
  </mc:AlternateContent>
  <xr:revisionPtr revIDLastSave="0" documentId="13_ncr:1_{D3B6A383-7428-47D3-8F03-7D9758656A76}" xr6:coauthVersionLast="47" xr6:coauthVersionMax="47" xr10:uidLastSave="{00000000-0000-0000-0000-000000000000}"/>
  <bookViews>
    <workbookView xWindow="-120" yWindow="-120" windowWidth="29040" windowHeight="15840" xr2:uid="{00000000-000D-0000-FFFF-FFFF00000000}"/>
  </bookViews>
  <sheets>
    <sheet name="Copyright" sheetId="10" r:id="rId1"/>
    <sheet name="Suivi" sheetId="1" r:id="rId2"/>
    <sheet name="Calcul" sheetId="2" r:id="rId3"/>
    <sheet name="FRd1" sheetId="3" r:id="rId4"/>
    <sheet name="FRd2" sheetId="4" r:id="rId5"/>
    <sheet name="FRd3" sheetId="5" r:id="rId6"/>
    <sheet name="FRd4" sheetId="6" r:id="rId7"/>
    <sheet name="FRd5" sheetId="7" r:id="rId8"/>
    <sheet name="FRd6" sheetId="8" r:id="rId9"/>
    <sheet name="FRd7" sheetId="9" r:id="rId10"/>
  </sheets>
  <externalReferences>
    <externalReference r:id="rId11"/>
    <externalReference r:id="rId12"/>
    <externalReference r:id="rId13"/>
  </externalReferences>
  <definedNames>
    <definedName name="_xlnm.Print_Area" localSheetId="2">Calcul!$A$1:$K$60</definedName>
    <definedName name="_xlnm.Print_Area" localSheetId="3">'FRd1'!$A$1:$K$57</definedName>
    <definedName name="_xlnm.Print_Area" localSheetId="4">'FRd2'!$A$1:$K$57</definedName>
    <definedName name="_xlnm.Print_Area" localSheetId="5">'FRd3'!$A$1:$K$61</definedName>
    <definedName name="_xlnm.Print_Area" localSheetId="6">'FRd4'!$A$1:$K$58</definedName>
    <definedName name="_xlnm.Print_Area" localSheetId="7">'FRd5'!$A$1:$K$57</definedName>
    <definedName name="_xlnm.Print_Area" localSheetId="8">'FRd6'!$A$1:$K$57</definedName>
    <definedName name="_xlnm.Print_Area" localSheetId="9">'FRd7'!$A$1:$K$57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3" i="7" l="1"/>
  <c r="V35" i="5"/>
  <c r="G8" i="4"/>
  <c r="J68" i="2" l="1"/>
  <c r="T16" i="2"/>
  <c r="P16" i="2"/>
  <c r="D36" i="2"/>
  <c r="D31" i="2"/>
  <c r="O15" i="2" l="1"/>
  <c r="O14" i="2" s="1"/>
  <c r="F47" i="2" l="1"/>
  <c r="C15" i="5" l="1"/>
  <c r="C14" i="5"/>
  <c r="J69" i="2"/>
  <c r="J67" i="2" l="1"/>
  <c r="C12" i="9" l="1"/>
  <c r="C10" i="9"/>
  <c r="G14" i="9"/>
  <c r="G12" i="9"/>
  <c r="V50" i="9"/>
  <c r="V31" i="9"/>
  <c r="C23" i="9"/>
  <c r="C22" i="9"/>
  <c r="C21" i="9"/>
  <c r="G16" i="9"/>
  <c r="G15" i="9"/>
  <c r="G13" i="9"/>
  <c r="G11" i="9"/>
  <c r="G10" i="9"/>
  <c r="G9" i="9"/>
  <c r="G8" i="9"/>
  <c r="K3" i="9"/>
  <c r="C10" i="8"/>
  <c r="G47" i="9"/>
  <c r="D47" i="9"/>
  <c r="D52" i="9"/>
  <c r="V49" i="9" l="1"/>
  <c r="V30" i="9"/>
  <c r="D36" i="9"/>
  <c r="D49" i="9"/>
  <c r="D30" i="9"/>
  <c r="V48" i="9"/>
  <c r="V55" i="9" s="1"/>
  <c r="G22" i="9"/>
  <c r="V29" i="9"/>
  <c r="G21" i="9"/>
  <c r="G14" i="8"/>
  <c r="G13" i="8"/>
  <c r="C15" i="8"/>
  <c r="C14" i="8"/>
  <c r="C21" i="8"/>
  <c r="C20" i="8"/>
  <c r="G12" i="8"/>
  <c r="G11" i="8"/>
  <c r="G10" i="8"/>
  <c r="G9" i="8"/>
  <c r="G8" i="8"/>
  <c r="K3" i="8"/>
  <c r="C18" i="7"/>
  <c r="C17" i="7"/>
  <c r="C10" i="7"/>
  <c r="G10" i="6"/>
  <c r="G11" i="6"/>
  <c r="G17" i="6"/>
  <c r="G10" i="7"/>
  <c r="C24" i="7"/>
  <c r="C23" i="7"/>
  <c r="C22" i="7"/>
  <c r="G11" i="7"/>
  <c r="G9" i="7"/>
  <c r="G8" i="7"/>
  <c r="K3" i="7"/>
  <c r="V51" i="6"/>
  <c r="V32" i="6"/>
  <c r="C24" i="6"/>
  <c r="C23" i="6"/>
  <c r="C22" i="6"/>
  <c r="G14" i="6"/>
  <c r="G13" i="6"/>
  <c r="G12" i="6"/>
  <c r="C12" i="6"/>
  <c r="G9" i="6"/>
  <c r="V50" i="6" s="1"/>
  <c r="G8" i="6"/>
  <c r="K3" i="6"/>
  <c r="O21" i="7" l="1"/>
  <c r="O20" i="7"/>
  <c r="V49" i="6"/>
  <c r="V31" i="6"/>
  <c r="C8" i="7"/>
  <c r="V30" i="6"/>
  <c r="V37" i="6" s="1"/>
  <c r="D37" i="6"/>
  <c r="D53" i="9"/>
  <c r="G16" i="6"/>
  <c r="D38" i="8"/>
  <c r="D30" i="8"/>
  <c r="D29" i="8"/>
  <c r="D39" i="8"/>
  <c r="N13" i="7"/>
  <c r="C8" i="8"/>
  <c r="V54" i="9"/>
  <c r="V53" i="9"/>
  <c r="V52" i="9"/>
  <c r="V51" i="9"/>
  <c r="V36" i="9"/>
  <c r="V32" i="9"/>
  <c r="V34" i="9"/>
  <c r="V33" i="9"/>
  <c r="V35" i="9"/>
  <c r="D31" i="6"/>
  <c r="G23" i="6"/>
  <c r="G22" i="6"/>
  <c r="D46" i="6"/>
  <c r="C27" i="8"/>
  <c r="C36" i="8"/>
  <c r="P25" i="7" l="1"/>
  <c r="P26" i="7"/>
  <c r="P27" i="7"/>
  <c r="P24" i="7"/>
  <c r="P28" i="7"/>
  <c r="V53" i="6"/>
  <c r="V55" i="6"/>
  <c r="V54" i="6"/>
  <c r="V56" i="6"/>
  <c r="V52" i="6"/>
  <c r="V33" i="6"/>
  <c r="V35" i="6"/>
  <c r="V34" i="6"/>
  <c r="V36" i="6"/>
  <c r="O50" i="7"/>
  <c r="C12" i="7"/>
  <c r="D32" i="7" s="1"/>
  <c r="V37" i="9"/>
  <c r="V56" i="9"/>
  <c r="J36" i="8"/>
  <c r="K36" i="8" s="1"/>
  <c r="J27" i="8"/>
  <c r="C14" i="7"/>
  <c r="V57" i="6" l="1"/>
  <c r="O22" i="7"/>
  <c r="N19" i="7" s="1"/>
  <c r="V38" i="6"/>
  <c r="K27" i="8"/>
  <c r="G23" i="9"/>
  <c r="C13" i="7"/>
  <c r="J46" i="8"/>
  <c r="K46" i="8" s="1"/>
  <c r="D33" i="7"/>
  <c r="G24" i="6" l="1"/>
  <c r="D38" i="6" s="1"/>
  <c r="D39" i="6" s="1"/>
  <c r="D37" i="9"/>
  <c r="D38" i="9" s="1"/>
  <c r="J53" i="9" s="1"/>
  <c r="D31" i="9"/>
  <c r="D32" i="9" s="1"/>
  <c r="J52" i="9" s="1"/>
  <c r="J58" i="2"/>
  <c r="D32" i="6" l="1"/>
  <c r="D33" i="6" s="1"/>
  <c r="C41" i="6" s="1"/>
  <c r="J54" i="9"/>
  <c r="K53" i="9"/>
  <c r="K58" i="2"/>
  <c r="M58" i="2"/>
  <c r="K54" i="9" l="1"/>
  <c r="K52" i="9"/>
  <c r="G16" i="5"/>
  <c r="K3" i="5"/>
  <c r="C10" i="5"/>
  <c r="C21" i="5" s="1"/>
  <c r="J59" i="2" l="1"/>
  <c r="M59" i="2" s="1"/>
  <c r="C27" i="5"/>
  <c r="C26" i="5"/>
  <c r="C25" i="5"/>
  <c r="G9" i="5"/>
  <c r="G8" i="5"/>
  <c r="V54" i="5"/>
  <c r="G12" i="4"/>
  <c r="G15" i="5"/>
  <c r="V34" i="5" s="1"/>
  <c r="G14" i="5"/>
  <c r="G13" i="5"/>
  <c r="G11" i="5"/>
  <c r="V53" i="5" l="1"/>
  <c r="V52" i="5"/>
  <c r="V55" i="5" s="1"/>
  <c r="D40" i="5"/>
  <c r="K59" i="2"/>
  <c r="D34" i="5"/>
  <c r="G10" i="5"/>
  <c r="G26" i="5"/>
  <c r="G25" i="5"/>
  <c r="V33" i="5"/>
  <c r="G8" i="3"/>
  <c r="G9" i="4"/>
  <c r="G14" i="4"/>
  <c r="C21" i="4"/>
  <c r="C20" i="4"/>
  <c r="C15" i="4"/>
  <c r="C14" i="4"/>
  <c r="G11" i="4"/>
  <c r="G10" i="4"/>
  <c r="K3" i="4"/>
  <c r="C18" i="3"/>
  <c r="K3" i="3"/>
  <c r="C24" i="3"/>
  <c r="C23" i="3"/>
  <c r="C22" i="3"/>
  <c r="C17" i="3"/>
  <c r="P23" i="3"/>
  <c r="G10" i="3"/>
  <c r="G9" i="3"/>
  <c r="D34" i="2"/>
  <c r="D32" i="2"/>
  <c r="D35" i="2"/>
  <c r="D33" i="2"/>
  <c r="C10" i="3" l="1"/>
  <c r="N6" i="3" s="1"/>
  <c r="V39" i="5"/>
  <c r="V38" i="5"/>
  <c r="V37" i="5"/>
  <c r="V36" i="5"/>
  <c r="V40" i="5"/>
  <c r="V59" i="5"/>
  <c r="J70" i="2"/>
  <c r="V57" i="5"/>
  <c r="V58" i="5"/>
  <c r="V56" i="5"/>
  <c r="C10" i="6"/>
  <c r="C9" i="5"/>
  <c r="C20" i="5" s="1"/>
  <c r="C8" i="6"/>
  <c r="C8" i="5"/>
  <c r="G12" i="5" s="1"/>
  <c r="J46" i="6"/>
  <c r="C10" i="4"/>
  <c r="D38" i="4" s="1"/>
  <c r="C8" i="4"/>
  <c r="G13" i="4" s="1"/>
  <c r="C11" i="3"/>
  <c r="C9" i="3"/>
  <c r="C12" i="3"/>
  <c r="O20" i="3"/>
  <c r="P26" i="3" s="1"/>
  <c r="C14" i="3"/>
  <c r="C8" i="3"/>
  <c r="D50" i="5"/>
  <c r="D57" i="5"/>
  <c r="J32" i="7"/>
  <c r="G50" i="5"/>
  <c r="V60" i="5" l="1"/>
  <c r="D52" i="5"/>
  <c r="D58" i="5" s="1"/>
  <c r="O51" i="3"/>
  <c r="O50" i="3"/>
  <c r="D30" i="4"/>
  <c r="K46" i="6"/>
  <c r="J56" i="2"/>
  <c r="D29" i="4"/>
  <c r="P24" i="3"/>
  <c r="K32" i="7"/>
  <c r="V41" i="5"/>
  <c r="D39" i="4"/>
  <c r="O21" i="3"/>
  <c r="C13" i="3"/>
  <c r="D32" i="3"/>
  <c r="P27" i="3"/>
  <c r="P28" i="3"/>
  <c r="P25" i="3"/>
  <c r="J33" i="7"/>
  <c r="D33" i="3"/>
  <c r="C36" i="4"/>
  <c r="C27" i="4"/>
  <c r="G27" i="5" l="1"/>
  <c r="D41" i="5" s="1"/>
  <c r="D42" i="5" s="1"/>
  <c r="J58" i="5" s="1"/>
  <c r="C35" i="3"/>
  <c r="K56" i="2"/>
  <c r="M56" i="2"/>
  <c r="K33" i="7"/>
  <c r="C35" i="7"/>
  <c r="J36" i="4"/>
  <c r="J27" i="4"/>
  <c r="O52" i="3"/>
  <c r="O22" i="3"/>
  <c r="J33" i="3"/>
  <c r="J32" i="3"/>
  <c r="N19" i="3" l="1"/>
  <c r="C15" i="3" s="1"/>
  <c r="D35" i="5"/>
  <c r="D36" i="5" s="1"/>
  <c r="J57" i="5" s="1"/>
  <c r="J46" i="4"/>
  <c r="K46" i="4" s="1"/>
  <c r="K32" i="3"/>
  <c r="K27" i="4"/>
  <c r="C15" i="7"/>
  <c r="K58" i="5"/>
  <c r="K36" i="4"/>
  <c r="K33" i="3"/>
  <c r="C16" i="3" l="1"/>
  <c r="C40" i="3" s="1"/>
  <c r="C50" i="3"/>
  <c r="J54" i="2"/>
  <c r="C16" i="7"/>
  <c r="C40" i="7" s="1"/>
  <c r="C43" i="7" s="1"/>
  <c r="C50" i="7"/>
  <c r="J59" i="5"/>
  <c r="K59" i="5" s="1"/>
  <c r="K57" i="5"/>
  <c r="J50" i="3"/>
  <c r="J40" i="7"/>
  <c r="J40" i="3"/>
  <c r="J43" i="7"/>
  <c r="J50" i="7"/>
  <c r="K50" i="3" l="1"/>
  <c r="K40" i="3"/>
  <c r="C43" i="3"/>
  <c r="J55" i="2"/>
  <c r="J74" i="2" s="1"/>
  <c r="K54" i="2"/>
  <c r="M54" i="2"/>
  <c r="K40" i="7"/>
  <c r="C56" i="7"/>
  <c r="K50" i="7"/>
  <c r="K43" i="7"/>
  <c r="J56" i="7"/>
  <c r="J43" i="3"/>
  <c r="K43" i="3" l="1"/>
  <c r="C56" i="3"/>
  <c r="K55" i="2"/>
  <c r="M55" i="2"/>
  <c r="J57" i="2"/>
  <c r="K56" i="7"/>
  <c r="J56" i="3"/>
  <c r="K56" i="3" l="1"/>
  <c r="J53" i="2"/>
  <c r="K57" i="2"/>
  <c r="M57" i="2"/>
  <c r="M53" i="2" l="1"/>
  <c r="K5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 Bourgeois</author>
  </authors>
  <commentList>
    <comment ref="M29" authorId="0" shapeId="0" xr:uid="{2C8E328B-1055-4A1B-8B1F-39A51ADD728A}">
      <text>
        <r>
          <rPr>
            <b/>
            <sz val="9"/>
            <color indexed="81"/>
            <rFont val="Tahoma"/>
            <family val="2"/>
          </rPr>
          <t>Si "PRS" est entré en E19, ce cadre est à compléter.</t>
        </r>
        <r>
          <rPr>
            <sz val="9"/>
            <color indexed="81"/>
            <rFont val="Tahoma"/>
            <family val="2"/>
          </rPr>
          <t xml:space="preserve">
</t>
        </r>
      </text>
    </comment>
  </commentList>
</comments>
</file>

<file path=xl/sharedStrings.xml><?xml version="1.0" encoding="utf-8"?>
<sst xmlns="http://schemas.openxmlformats.org/spreadsheetml/2006/main" count="711" uniqueCount="240">
  <si>
    <t>Outil de calcul ind A</t>
  </si>
  <si>
    <t>Suivi et descriptions générales</t>
  </si>
  <si>
    <t>Date</t>
  </si>
  <si>
    <t>Indice</t>
  </si>
  <si>
    <t>Emetteur</t>
  </si>
  <si>
    <t>Contact</t>
  </si>
  <si>
    <t>Description</t>
  </si>
  <si>
    <t>A</t>
  </si>
  <si>
    <t>V. Bourgeois</t>
  </si>
  <si>
    <t>victor_bourgeois@orange.fr</t>
  </si>
  <si>
    <t>Première diffusion</t>
  </si>
  <si>
    <t>Description de la feuille et limites d'usage</t>
  </si>
  <si>
    <t>NF</t>
  </si>
  <si>
    <t>Diamètre des boulons d :</t>
  </si>
  <si>
    <t>mm</t>
  </si>
  <si>
    <t>Classe des boulons :</t>
  </si>
  <si>
    <t>8.8</t>
  </si>
  <si>
    <t>Perçage d0 :</t>
  </si>
  <si>
    <t>Résistance des boulons au cisaillement</t>
  </si>
  <si>
    <t>Assemblage par gousset simple</t>
  </si>
  <si>
    <t>daN</t>
  </si>
  <si>
    <t>Effort de cisaillement VEd :</t>
  </si>
  <si>
    <t>Effort normal Ned :</t>
  </si>
  <si>
    <t>PRS</t>
  </si>
  <si>
    <t>Distance de bras de levier :</t>
  </si>
  <si>
    <t>tw :</t>
  </si>
  <si>
    <t>daNm</t>
  </si>
  <si>
    <t>Nombre de boulons / colonne :</t>
  </si>
  <si>
    <t>Nombre de colonnes :</t>
  </si>
  <si>
    <t>Les vérifications sont faites selon des critères élastiques ainsi qu'avec le critère de Von Mises.</t>
  </si>
  <si>
    <t>d0 :</t>
  </si>
  <si>
    <t>p1 :</t>
  </si>
  <si>
    <t>Calcul paramètre n :</t>
  </si>
  <si>
    <t>1er terme</t>
  </si>
  <si>
    <t>2nd terme</t>
  </si>
  <si>
    <t>3eme terme</t>
  </si>
  <si>
    <t>4eme terme</t>
  </si>
  <si>
    <t>5eme terme</t>
  </si>
  <si>
    <t>6eme terme</t>
  </si>
  <si>
    <t>Nb Boulons / colonne :</t>
  </si>
  <si>
    <t>p2 :</t>
  </si>
  <si>
    <t>Iy :</t>
  </si>
  <si>
    <t>cm^4</t>
  </si>
  <si>
    <t xml:space="preserve">5eme terme </t>
  </si>
  <si>
    <t>Inertie poutre complète :</t>
  </si>
  <si>
    <t>Inertie nette poutre :</t>
  </si>
  <si>
    <t>Wel,y net :</t>
  </si>
  <si>
    <t>cm^3</t>
  </si>
  <si>
    <t>h :</t>
  </si>
  <si>
    <t>fy :</t>
  </si>
  <si>
    <t>MPa</t>
  </si>
  <si>
    <t>Moment secondaire :</t>
  </si>
  <si>
    <t>Efforts à la section</t>
  </si>
  <si>
    <t>Ned =</t>
  </si>
  <si>
    <t>Ved =</t>
  </si>
  <si>
    <t>Med =</t>
  </si>
  <si>
    <r>
      <t xml:space="preserve">Calcul de </t>
    </r>
    <r>
      <rPr>
        <b/>
        <sz val="11"/>
        <color theme="1"/>
        <rFont val="Calibri"/>
        <family val="2"/>
      </rPr>
      <t>σ</t>
    </r>
  </si>
  <si>
    <t>Issu de Ned :</t>
  </si>
  <si>
    <t>Caractéristiques de la poutre</t>
  </si>
  <si>
    <t>Caractéristiques du perçage</t>
  </si>
  <si>
    <t>A :</t>
  </si>
  <si>
    <t>cm^2</t>
  </si>
  <si>
    <t>A nette :</t>
  </si>
  <si>
    <t>Iy perçages :</t>
  </si>
  <si>
    <t>A perçages :</t>
  </si>
  <si>
    <t>Normes et recommandations :</t>
  </si>
  <si>
    <t>fu :</t>
  </si>
  <si>
    <t>σ Ned =</t>
  </si>
  <si>
    <t>Issu de Med :</t>
  </si>
  <si>
    <t>σNed-A :</t>
  </si>
  <si>
    <t>σNed-Anet :</t>
  </si>
  <si>
    <t>Somme des σ =</t>
  </si>
  <si>
    <t>σ Med max =</t>
  </si>
  <si>
    <t>Nota : il s'agit de la contrainte maximale (la fibre la plus extrème de la poutre en I, le dessus de la semelle)</t>
  </si>
  <si>
    <r>
      <t xml:space="preserve">Calcul de </t>
    </r>
    <r>
      <rPr>
        <b/>
        <sz val="11"/>
        <color theme="1"/>
        <rFont val="Calibri"/>
        <family val="2"/>
      </rPr>
      <t>τ</t>
    </r>
  </si>
  <si>
    <t>Moment statique par rapport au centre section</t>
  </si>
  <si>
    <t>Semelle :</t>
  </si>
  <si>
    <t xml:space="preserve">b: </t>
  </si>
  <si>
    <t>b :</t>
  </si>
  <si>
    <t>tf :</t>
  </si>
  <si>
    <t>mm^3</t>
  </si>
  <si>
    <t>Ame :</t>
  </si>
  <si>
    <t>ms :</t>
  </si>
  <si>
    <t xml:space="preserve"> τ max :</t>
  </si>
  <si>
    <t>Calcul de σMises</t>
  </si>
  <si>
    <t>σMises :</t>
  </si>
  <si>
    <t>Le calcul est donc fait avec la valeur extrême de σ située sur la fibre la plus éloignée et la valeur extrème de τ située sur la fibre de l'axe neutre. Le calcul est enveloppe.</t>
  </si>
  <si>
    <t>Calcul de Iy trous</t>
  </si>
  <si>
    <t>Cisaillement de bloc dans la poutre</t>
  </si>
  <si>
    <t>e1,poutre :</t>
  </si>
  <si>
    <t>Calcul pour un effort excentré : Ved</t>
  </si>
  <si>
    <t>Veff,2,Rd =</t>
  </si>
  <si>
    <t>Avec :</t>
  </si>
  <si>
    <t>e1 :</t>
  </si>
  <si>
    <t>e2,poutre :</t>
  </si>
  <si>
    <t>e2,éclisse :</t>
  </si>
  <si>
    <t>Nb colonne :</t>
  </si>
  <si>
    <t>Ant :</t>
  </si>
  <si>
    <t>Anv :</t>
  </si>
  <si>
    <t>mm²</t>
  </si>
  <si>
    <t>Calcul pour un effort centré : Ned</t>
  </si>
  <si>
    <t>Veff,1,Rd =</t>
  </si>
  <si>
    <t>Interaction</t>
  </si>
  <si>
    <t>Pression diamétrale dans la poutre</t>
  </si>
  <si>
    <t>Détermination du xi maximum</t>
  </si>
  <si>
    <t>Détermination du yi maximum</t>
  </si>
  <si>
    <t>Nb colonnes :</t>
  </si>
  <si>
    <t>Calcul des xi,max; yi,max et Somme de ri²</t>
  </si>
  <si>
    <t>xmax :</t>
  </si>
  <si>
    <t>ymax :</t>
  </si>
  <si>
    <t>Σri² :</t>
  </si>
  <si>
    <t>Somme des xi²</t>
  </si>
  <si>
    <t>Somme des yi²</t>
  </si>
  <si>
    <t>1er terme :</t>
  </si>
  <si>
    <t>2eme terme :</t>
  </si>
  <si>
    <t>3eme terme :</t>
  </si>
  <si>
    <t>n :</t>
  </si>
  <si>
    <t>4eme terme :</t>
  </si>
  <si>
    <t>5eme terme :</t>
  </si>
  <si>
    <t>6eme terme :</t>
  </si>
  <si>
    <t>7eme terme :</t>
  </si>
  <si>
    <t>Σxi² :</t>
  </si>
  <si>
    <t>Σyi² :</t>
  </si>
  <si>
    <t>Issu de Ved :</t>
  </si>
  <si>
    <t>Efforts perpendiculaire à la poutre pour le boulon le plus chargé :</t>
  </si>
  <si>
    <t>Efforts normaux à la poutre pour le boulon le plus chargé :</t>
  </si>
  <si>
    <t>Fy :</t>
  </si>
  <si>
    <t>Fx :</t>
  </si>
  <si>
    <t>Effort pour boulon le plus sollicité</t>
  </si>
  <si>
    <t>Résistance à la pression diamétrale du boulon le plus sollicité</t>
  </si>
  <si>
    <t>Résistance perpendiculaire à la poutre pour le boulon le plus chargé :</t>
  </si>
  <si>
    <t>Fby,Rd :</t>
  </si>
  <si>
    <t>d :</t>
  </si>
  <si>
    <t>&gt; Fy</t>
  </si>
  <si>
    <t>Fbx,Rd :</t>
  </si>
  <si>
    <t>&gt; Fx</t>
  </si>
  <si>
    <t>Résistance au cisaillement des boulons</t>
  </si>
  <si>
    <t>Interaction :</t>
  </si>
  <si>
    <t>Soit Fv,Ed :</t>
  </si>
  <si>
    <t>Fv,Rd :</t>
  </si>
  <si>
    <t>&gt; Fv,Ed</t>
  </si>
  <si>
    <r>
      <t xml:space="preserve">Perçage </t>
    </r>
    <r>
      <rPr>
        <sz val="11"/>
        <color theme="1"/>
        <rFont val="Calibri"/>
        <family val="2"/>
      </rPr>
      <t>φ+2 pour boulon M12 et M14 :</t>
    </r>
  </si>
  <si>
    <t>Epaisseur fourrure non soudée :</t>
  </si>
  <si>
    <t>Caractéristiques du gousset</t>
  </si>
  <si>
    <t>t :</t>
  </si>
  <si>
    <t>Inertie éclisse complète :</t>
  </si>
  <si>
    <t>Inertie nette éclisse :</t>
  </si>
  <si>
    <t>fy,éclisse :</t>
  </si>
  <si>
    <t>fu,éclisse :</t>
  </si>
  <si>
    <t>Boulons et perçages</t>
  </si>
  <si>
    <t>Caractéristique éclisse</t>
  </si>
  <si>
    <t>Caractéristique section portée</t>
  </si>
  <si>
    <t>Section :</t>
  </si>
  <si>
    <t>Epaisseur :</t>
  </si>
  <si>
    <t>Efforts</t>
  </si>
  <si>
    <t>Nota : il s'agit de la contrainte maximale (la fibre la plus extrème de l'éclisse)</t>
  </si>
  <si>
    <t>Eclisse :</t>
  </si>
  <si>
    <t>(Perçages soustraits)</t>
  </si>
  <si>
    <t>(Congé négligé et perçages soustraits)</t>
  </si>
  <si>
    <t>Cisaillement de bloc dans l'éclisse</t>
  </si>
  <si>
    <t>Pression diamétrale dans l'éclisse</t>
  </si>
  <si>
    <t>Résultats</t>
  </si>
  <si>
    <t>Résistance de la section de la poutre</t>
  </si>
  <si>
    <t>Recommandations</t>
  </si>
  <si>
    <t>Ce type d'assemblage est moins ductile qu'une attache par double cornière par exemple.</t>
  </si>
  <si>
    <t>Il est donc recommandé de favoriser un comportement ductile et notemment :</t>
  </si>
  <si>
    <t>a =</t>
  </si>
  <si>
    <t>Soudures pleinement résistantes du gousset :</t>
  </si>
  <si>
    <t>Pinces à 1,5xd0 minimum</t>
  </si>
  <si>
    <t>Entraxe à 3xd0 minimum</t>
  </si>
  <si>
    <r>
      <t xml:space="preserve">Extrait de : Rodier, A. (2022). </t>
    </r>
    <r>
      <rPr>
        <i/>
        <sz val="11"/>
        <color theme="1"/>
        <rFont val="Calibri"/>
        <family val="2"/>
        <scheme val="minor"/>
      </rPr>
      <t>Conception des bâtiments simples à ossature en acier.</t>
    </r>
    <r>
      <rPr>
        <sz val="11"/>
        <color theme="1"/>
        <rFont val="Calibri"/>
        <family val="2"/>
        <scheme val="minor"/>
      </rPr>
      <t xml:space="preserve"> CTICM.</t>
    </r>
  </si>
  <si>
    <t>"Ce type de conception ne peut pas développer des déformations importantes par flexion des plats,</t>
  </si>
  <si>
    <t>comme dans le cas des assemblages par double cornière (5.2.3) ou par platine réduite. Pour assurer une</t>
  </si>
  <si>
    <t>ductilité acceptable à cet assemblage, il convient de respecter les conditions suivantes : […]</t>
  </si>
  <si>
    <t>Ces conditions permettent de privilégier une certaine déformation en pression diamétrale avant que la ruine</t>
  </si>
  <si>
    <t>ne se produise. Cela permet d'obtenir une ductilité acceptable, bien qu'inférieure à celle obtenue par flexion</t>
  </si>
  <si>
    <t>des plats dans le cas d'assemblages par double cornière ou par platine réduite."</t>
  </si>
  <si>
    <t xml:space="preserve">Enfin dans le même esprit, il est toujours préférable que la résistance au cisaillement des boulons soit supérieure </t>
  </si>
  <si>
    <t>Fv,Rd &gt; Fb,Rd</t>
  </si>
  <si>
    <t>Calage non soudé tp1 :</t>
  </si>
  <si>
    <t>Fourrure soudé sur poutre tp2 :</t>
  </si>
  <si>
    <t>Caractéristique de la fourrure soudée</t>
  </si>
  <si>
    <t>Caractéristiques à retenir</t>
  </si>
  <si>
    <t>t à retenir :</t>
  </si>
  <si>
    <t>fu à retenir :</t>
  </si>
  <si>
    <t>Prise en compte d'une fourrure soudée de calage comme participant à la reprise de la pression diamétrale. (Mais avec le fu minimum)</t>
  </si>
  <si>
    <t>La qualité d'acier de la fourrure est prise égale à la qualité d'acier minimale entre la poutre et l'éclisse.</t>
  </si>
  <si>
    <t>Nota, le bras de levier est celui fourni par l'utilisateur. En revanche la section vérifiée est une section nette au droit des perçages.</t>
  </si>
  <si>
    <t>Résistance de la section de l'éclisse (tranchant et moment secondaire)</t>
  </si>
  <si>
    <t>Résistance de la section de l'éclisse</t>
  </si>
  <si>
    <t>La feuille vérifie la résistance d'un assemblage par gousset soudé d'une poutre</t>
  </si>
  <si>
    <t xml:space="preserve">La feuille calcul synthétise toute les vérification faites, c'est également la seule feuille à compléter. </t>
  </si>
  <si>
    <t>Le détail des calculs est disponible dans chaque feuille intitulée "VRd1" à VRd7"</t>
  </si>
  <si>
    <t>- Utilisation d'un laminé</t>
  </si>
  <si>
    <t>Renseigner directement le nom du laminé dans la cellule D30 (conformément au catalogue Arcelor)</t>
  </si>
  <si>
    <t>- Utilisation d'un PRS</t>
  </si>
  <si>
    <t>Entrer "PRS" dans la cellule D30.</t>
  </si>
  <si>
    <t>Compléter les cellules N30 à N35 avec les caractéristiques de celui-ci.</t>
  </si>
  <si>
    <t>- Au-delà de la ligne 63 est indiqué une liste de recommandations pour la conception de l'attache.</t>
  </si>
  <si>
    <t>Limites et simplifications</t>
  </si>
  <si>
    <t xml:space="preserve">- Pour le calcul des résistances en section, le critère vérifié est celui de Von Mises en considérant comme </t>
  </si>
  <si>
    <t>concomitant le σ maximum (fibre haute) et le τ maximum (fibre intermédiaire) ce qui est</t>
  </si>
  <si>
    <t>une hypothèse défavorable.</t>
  </si>
  <si>
    <t>La section vérifiée est celle se situant au droit des perçages avec les efforts frounis par l'utilisateur</t>
  </si>
  <si>
    <t>(prenant en compte un moment secondaire)</t>
  </si>
  <si>
    <t>- Dans le cas de la présence d'une fourrure soudée sur la poutre, cela vient s'additionner à l'épaisseur de l'âme de la</t>
  </si>
  <si>
    <t xml:space="preserve"> entre celle la poutre et celle de l'éclisse.</t>
  </si>
  <si>
    <t xml:space="preserve"> poutre pour le calcul de la pression diamétrale sur celle-ci. La nuance prise en compte est la plus basse</t>
  </si>
  <si>
    <t>Résistance au cisaillement du boulon le plus sollicité</t>
  </si>
  <si>
    <t>à la résistance à la pression diamétrale afin de garantir une ruine ductile</t>
  </si>
  <si>
    <t xml:space="preserve">Frd1 : </t>
  </si>
  <si>
    <t xml:space="preserve">Frd2 : </t>
  </si>
  <si>
    <t xml:space="preserve">Frd3 : </t>
  </si>
  <si>
    <t>Frd4 :</t>
  </si>
  <si>
    <t xml:space="preserve">Frd5 : </t>
  </si>
  <si>
    <t>Frd6 :</t>
  </si>
  <si>
    <t>Frd7 :</t>
  </si>
  <si>
    <t>Dans  les assemblages à simple recouvrement ne comportant qu'une rangée de boulons et pour l'effort normal,</t>
  </si>
  <si>
    <t>il convient de limiter la résistance en pression diamétrale (EC3-1-8 §3.6.1(10).</t>
  </si>
  <si>
    <t>limité à</t>
  </si>
  <si>
    <t>Valeur retenue dans notre cas :</t>
  </si>
  <si>
    <t>Limite définie dans EC3-1-8 §3.6.1(10)</t>
  </si>
  <si>
    <t>Résistance de la section de la poutre (normal, tranchant et moment secondaire)</t>
  </si>
  <si>
    <t xml:space="preserve"> </t>
  </si>
  <si>
    <t>Conception choisie :</t>
  </si>
  <si>
    <t>∑ des p1 et e1 :</t>
  </si>
  <si>
    <r>
      <t xml:space="preserve">d,boulon </t>
    </r>
    <r>
      <rPr>
        <sz val="11"/>
        <color theme="1"/>
        <rFont val="Calibri"/>
        <family val="2"/>
      </rPr>
      <t>≥</t>
    </r>
    <r>
      <rPr>
        <sz val="11"/>
        <color theme="1"/>
        <rFont val="Calibri"/>
        <family val="2"/>
        <scheme val="minor"/>
      </rPr>
      <t xml:space="preserve"> 2x minimum(tw + cale soudée ;ep.gousset) </t>
    </r>
  </si>
  <si>
    <t>Suggestion pince et entraxe :</t>
  </si>
  <si>
    <t>Test</t>
  </si>
  <si>
    <t>Les seules cellules à compléter sont au format suivant :</t>
  </si>
  <si>
    <t>IPE 140</t>
  </si>
  <si>
    <t>Licence MIT</t>
  </si>
  <si>
    <t xml:space="preserve">Permission is hereby granted, free of charge, to any person obtaining a copy of this software and associated documentation files (the “Software”), </t>
  </si>
  <si>
    <t xml:space="preserve">to deal in the Software without restriction, including without limitation the rights to use, copy, modify, merge, publish, distribute, sublicense, </t>
  </si>
  <si>
    <t>and/or sell copies of the Software, and to permit persons to whom the Software is furnished to do so, subject to the following conditions:</t>
  </si>
  <si>
    <t>The above copyright notice and this permission notice shall be included in all copies or substantial portions of the Software.</t>
  </si>
  <si>
    <t xml:space="preserve">THE SOFTWARE IS PROVIDED “AS IS”, WITHOUT WARRANTY OF ANY KIND, EXPRESS OR IMPLIED, INCLUDING BUT NOT LIMITED TO THE WARRANTIES OF MERCHANTABILITY, </t>
  </si>
  <si>
    <t>FITNESS FOR A PARTICULAR PURPOSE AND NONINFRINGEMENT. IN NO EVENT SHALL THE AUTHORS OR COPYRIGHT HOLDERS BE LIABLE FOR ANY CLAIM, DAMAGES OR OTHER LIABILITY, OF OR IN CONNECTION WITH THE SOFTWARE OR THE USE OR OTHER DEALINGS IN THE SOFTWARE.</t>
  </si>
  <si>
    <t>WHETHER IN AN ACTION OF CONTRACT, TORT OR OTHERWISE, ARISING FROM, OUT OF OR IN CONNECTION WITH THE SOFTWARE OR THE USE OR OTHER DEALINGS IN THE SOFTWARE.</t>
  </si>
  <si>
    <t>Copyright © 2023 Bourgeois Victor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</si>
</sst>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sz val="11"/>
      <color rgb="FF3F3F76"/>
      <name val="Calibri"/>
      <family val="2"/>
      <scheme val="minor"/>
    </font>
    <font>
      <b/>
      <sz val="11"/>
      <color theme="1"/>
      <name val="Calibri"/>
      <family val="2"/>
      <scheme val="minor"/>
    </font>
    <font>
      <sz val="8"/>
      <color theme="1"/>
      <name val="Calibri"/>
      <family val="2"/>
      <scheme val="minor"/>
    </font>
    <font>
      <u/>
      <sz val="11"/>
      <color theme="10"/>
      <name val="Calibri"/>
      <family val="2"/>
      <scheme val="minor"/>
    </font>
    <font>
      <u/>
      <sz val="11"/>
      <color theme="1"/>
      <name val="Calibri"/>
      <family val="2"/>
      <scheme val="minor"/>
    </font>
    <font>
      <sz val="9"/>
      <color indexed="81"/>
      <name val="Tahoma"/>
      <family val="2"/>
    </font>
    <font>
      <b/>
      <sz val="9"/>
      <color indexed="81"/>
      <name val="Tahoma"/>
      <family val="2"/>
    </font>
    <font>
      <sz val="11"/>
      <color theme="1"/>
      <name val="Calibri"/>
      <family val="2"/>
    </font>
    <font>
      <b/>
      <sz val="11"/>
      <color theme="1"/>
      <name val="Calibri"/>
      <family val="2"/>
    </font>
    <font>
      <i/>
      <sz val="11"/>
      <color theme="1"/>
      <name val="Calibri"/>
      <family val="2"/>
      <scheme val="minor"/>
    </font>
    <font>
      <i/>
      <sz val="11"/>
      <color rgb="FF3F3F76"/>
      <name val="Calibri"/>
      <family val="2"/>
      <scheme val="minor"/>
    </font>
  </fonts>
  <fills count="3">
    <fill>
      <patternFill patternType="none"/>
    </fill>
    <fill>
      <patternFill patternType="gray125"/>
    </fill>
    <fill>
      <patternFill patternType="solid">
        <fgColor rgb="FFFFCC99"/>
      </patternFill>
    </fill>
  </fills>
  <borders count="38">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bottom/>
      <diagonal/>
    </border>
    <border>
      <left/>
      <right style="medium">
        <color auto="1"/>
      </right>
      <top/>
      <bottom/>
      <diagonal/>
    </border>
    <border>
      <left style="thin">
        <color rgb="FF7F7F7F"/>
      </left>
      <right style="thin">
        <color rgb="FF7F7F7F"/>
      </right>
      <top style="thin">
        <color rgb="FF7F7F7F"/>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bottom style="thin">
        <color rgb="FF7F7F7F"/>
      </bottom>
      <diagonal/>
    </border>
  </borders>
  <cellStyleXfs count="3">
    <xf numFmtId="0" fontId="0" fillId="0" borderId="0"/>
    <xf numFmtId="0" fontId="1" fillId="2" borderId="1" applyNumberFormat="0" applyAlignment="0" applyProtection="0"/>
    <xf numFmtId="0" fontId="4" fillId="0" borderId="0" applyNumberFormat="0" applyFill="0" applyBorder="0" applyAlignment="0" applyProtection="0"/>
  </cellStyleXfs>
  <cellXfs count="87">
    <xf numFmtId="0" fontId="0" fillId="0" borderId="0" xfId="0"/>
    <xf numFmtId="0" fontId="0" fillId="0" borderId="8" xfId="0" applyBorder="1"/>
    <xf numFmtId="0" fontId="0" fillId="0" borderId="9" xfId="0" applyBorder="1"/>
    <xf numFmtId="0" fontId="0" fillId="0" borderId="16" xfId="0" applyBorder="1"/>
    <xf numFmtId="0" fontId="0" fillId="0" borderId="17" xfId="0" applyBorder="1"/>
    <xf numFmtId="14" fontId="0" fillId="0" borderId="21" xfId="0" applyNumberFormat="1" applyBorder="1"/>
    <xf numFmtId="0" fontId="0" fillId="0" borderId="22" xfId="0" applyBorder="1"/>
    <xf numFmtId="0" fontId="4" fillId="0" borderId="22" xfId="2" applyBorder="1"/>
    <xf numFmtId="0" fontId="0" fillId="0" borderId="21" xfId="0" applyBorder="1"/>
    <xf numFmtId="0" fontId="0" fillId="0" borderId="26" xfId="0" applyBorder="1"/>
    <xf numFmtId="0" fontId="0" fillId="0" borderId="27" xfId="0" applyBorder="1"/>
    <xf numFmtId="0" fontId="5" fillId="0" borderId="0" xfId="0" applyFont="1" applyAlignment="1">
      <alignment horizontal="left"/>
    </xf>
    <xf numFmtId="0" fontId="0" fillId="0" borderId="0" xfId="0" quotePrefix="1"/>
    <xf numFmtId="0" fontId="5" fillId="0" borderId="0" xfId="0" applyFont="1"/>
    <xf numFmtId="0" fontId="0" fillId="0" borderId="0" xfId="0" applyAlignment="1">
      <alignment horizontal="right"/>
    </xf>
    <xf numFmtId="0" fontId="1" fillId="2" borderId="1" xfId="1"/>
    <xf numFmtId="0" fontId="1" fillId="2" borderId="1" xfId="1" applyAlignment="1">
      <alignment horizontal="right"/>
    </xf>
    <xf numFmtId="0" fontId="2" fillId="0" borderId="0" xfId="0" applyFont="1"/>
    <xf numFmtId="0" fontId="0" fillId="0" borderId="10" xfId="0" applyBorder="1"/>
    <xf numFmtId="0" fontId="0" fillId="0" borderId="11" xfId="0" applyBorder="1"/>
    <xf numFmtId="0" fontId="0" fillId="0" borderId="12" xfId="0" applyBorder="1"/>
    <xf numFmtId="0" fontId="0" fillId="0" borderId="15" xfId="0" applyBorder="1"/>
    <xf numFmtId="0" fontId="0" fillId="0" borderId="13" xfId="0" applyBorder="1" applyAlignment="1">
      <alignment horizontal="right"/>
    </xf>
    <xf numFmtId="0" fontId="0" fillId="0" borderId="0" xfId="0" applyAlignment="1">
      <alignment horizontal="center"/>
    </xf>
    <xf numFmtId="0" fontId="0" fillId="0" borderId="31" xfId="0" applyBorder="1"/>
    <xf numFmtId="0" fontId="0" fillId="0" borderId="32" xfId="0" applyBorder="1"/>
    <xf numFmtId="0" fontId="0" fillId="0" borderId="13" xfId="0" applyBorder="1"/>
    <xf numFmtId="0" fontId="0" fillId="0" borderId="14" xfId="0" applyBorder="1"/>
    <xf numFmtId="0" fontId="0" fillId="0" borderId="31" xfId="0" applyBorder="1" applyAlignment="1">
      <alignment horizontal="right"/>
    </xf>
    <xf numFmtId="1" fontId="0" fillId="0" borderId="11" xfId="0" applyNumberFormat="1" applyBorder="1"/>
    <xf numFmtId="0" fontId="0" fillId="0" borderId="14" xfId="0" applyBorder="1" applyAlignment="1">
      <alignment horizontal="right"/>
    </xf>
    <xf numFmtId="2" fontId="0" fillId="0" borderId="0" xfId="0" applyNumberFormat="1"/>
    <xf numFmtId="0" fontId="1" fillId="2" borderId="33" xfId="1" applyBorder="1" applyAlignment="1">
      <alignment horizontal="right"/>
    </xf>
    <xf numFmtId="3" fontId="0" fillId="0" borderId="0" xfId="0" applyNumberFormat="1"/>
    <xf numFmtId="0" fontId="2" fillId="0" borderId="10" xfId="0" applyFont="1" applyBorder="1"/>
    <xf numFmtId="0" fontId="2" fillId="0" borderId="31" xfId="0" applyFont="1" applyBorder="1"/>
    <xf numFmtId="0" fontId="1" fillId="2" borderId="37" xfId="1" applyBorder="1"/>
    <xf numFmtId="0" fontId="0" fillId="0" borderId="0" xfId="0" applyAlignment="1">
      <alignment horizontal="left" vertical="center" indent="5"/>
    </xf>
    <xf numFmtId="0" fontId="0" fillId="0" borderId="0" xfId="0" applyAlignment="1">
      <alignment vertical="center"/>
    </xf>
    <xf numFmtId="0" fontId="1" fillId="2" borderId="37" xfId="1" applyBorder="1" applyAlignment="1">
      <alignment horizontal="right"/>
    </xf>
    <xf numFmtId="0" fontId="0" fillId="0" borderId="5" xfId="0" applyBorder="1"/>
    <xf numFmtId="0" fontId="0" fillId="0" borderId="6" xfId="0" applyBorder="1"/>
    <xf numFmtId="0" fontId="0" fillId="0" borderId="7" xfId="0" applyBorder="1"/>
    <xf numFmtId="164" fontId="0" fillId="0" borderId="0" xfId="0" applyNumberFormat="1"/>
    <xf numFmtId="1" fontId="0" fillId="0" borderId="0" xfId="0" applyNumberFormat="1"/>
    <xf numFmtId="0" fontId="8" fillId="0" borderId="0" xfId="0" applyFont="1"/>
    <xf numFmtId="0" fontId="5" fillId="0" borderId="0" xfId="0" applyFont="1" applyAlignment="1">
      <alignment horizontal="right"/>
    </xf>
    <xf numFmtId="164" fontId="5" fillId="0" borderId="0" xfId="0" applyNumberFormat="1" applyFont="1" applyAlignment="1">
      <alignment horizontal="center"/>
    </xf>
    <xf numFmtId="164" fontId="5" fillId="0" borderId="0" xfId="0" applyNumberFormat="1" applyFont="1"/>
    <xf numFmtId="1" fontId="5" fillId="0" borderId="0" xfId="0" applyNumberFormat="1" applyFont="1"/>
    <xf numFmtId="0" fontId="2" fillId="0" borderId="0" xfId="0" applyFont="1" applyAlignment="1">
      <alignment horizontal="right"/>
    </xf>
    <xf numFmtId="3" fontId="2" fillId="0" borderId="0" xfId="0" applyNumberFormat="1" applyFont="1"/>
    <xf numFmtId="1" fontId="2" fillId="0" borderId="0" xfId="0" applyNumberFormat="1" applyFont="1"/>
    <xf numFmtId="3" fontId="0" fillId="0" borderId="14" xfId="0" applyNumberFormat="1" applyBorder="1"/>
    <xf numFmtId="1" fontId="0" fillId="0" borderId="0" xfId="0" applyNumberFormat="1" applyAlignment="1">
      <alignment horizontal="center"/>
    </xf>
    <xf numFmtId="0" fontId="3" fillId="0" borderId="0" xfId="0" applyFont="1"/>
    <xf numFmtId="0" fontId="10" fillId="0" borderId="10" xfId="0" applyFont="1" applyBorder="1"/>
    <xf numFmtId="0" fontId="8" fillId="0" borderId="13" xfId="0" applyFont="1" applyBorder="1" applyAlignment="1">
      <alignment horizontal="left"/>
    </xf>
    <xf numFmtId="164" fontId="0" fillId="0" borderId="14" xfId="0" applyNumberFormat="1" applyBorder="1"/>
    <xf numFmtId="0" fontId="11" fillId="2" borderId="1" xfId="1" applyFont="1"/>
    <xf numFmtId="0" fontId="0" fillId="0" borderId="23" xfId="0" applyBorder="1"/>
    <xf numFmtId="0" fontId="0" fillId="0" borderId="24" xfId="0" applyBorder="1"/>
    <xf numFmtId="0" fontId="0" fillId="0" borderId="25" xfId="0" applyBorder="1"/>
    <xf numFmtId="0" fontId="0" fillId="0" borderId="28" xfId="0" applyBorder="1"/>
    <xf numFmtId="0" fontId="0" fillId="0" borderId="29" xfId="0" applyBorder="1"/>
    <xf numFmtId="0" fontId="0" fillId="0" borderId="30" xfId="0" applyBorder="1"/>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0" fillId="0" borderId="18" xfId="0" applyBorder="1" applyAlignment="1">
      <alignment horizontal="left"/>
    </xf>
    <xf numFmtId="0" fontId="0" fillId="0" borderId="19" xfId="0" applyBorder="1" applyAlignment="1">
      <alignment horizontal="left"/>
    </xf>
    <xf numFmtId="0" fontId="0" fillId="0" borderId="20"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34" xfId="0" applyFont="1" applyBorder="1" applyAlignment="1">
      <alignment horizontal="center"/>
    </xf>
    <xf numFmtId="0" fontId="2" fillId="0" borderId="35" xfId="0" applyFont="1" applyBorder="1" applyAlignment="1">
      <alignment horizontal="center"/>
    </xf>
    <xf numFmtId="0" fontId="2" fillId="0" borderId="36" xfId="0" applyFont="1" applyBorder="1" applyAlignment="1">
      <alignment horizontal="center"/>
    </xf>
  </cellXfs>
  <cellStyles count="3">
    <cellStyle name="Entrée" xfId="1" builtinId="20"/>
    <cellStyle name="Lien hypertexte" xfId="2" builtinId="8"/>
    <cellStyle name="Normal" xfId="0" builtinId="0"/>
  </cellStyles>
  <dxfs count="51">
    <dxf>
      <font>
        <b/>
        <i val="0"/>
        <color rgb="FFFF0000"/>
      </font>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b/>
        <i val="0"/>
        <color rgb="FFFF0000"/>
      </font>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9C0000"/>
      </font>
      <fill>
        <patternFill>
          <fgColor auto="1"/>
          <bgColor rgb="FFFFC7CE"/>
        </patternFill>
      </fill>
    </dxf>
    <dxf>
      <font>
        <color rgb="FF9C0000"/>
      </font>
      <fill>
        <patternFill>
          <bgColor rgb="FFFFC7CE"/>
        </patternFill>
      </fill>
    </dxf>
    <dxf>
      <font>
        <color rgb="FF006100"/>
      </font>
      <fill>
        <patternFill>
          <bgColor rgb="FFC6EFCE"/>
        </patternFill>
      </fill>
    </dxf>
    <dxf>
      <font>
        <b/>
        <i val="0"/>
      </font>
    </dxf>
    <dxf>
      <font>
        <color rgb="FF006100"/>
      </font>
      <fill>
        <patternFill>
          <bgColor rgb="FFC6EFCE"/>
        </patternFill>
      </fill>
    </dxf>
    <dxf>
      <font>
        <color rgb="FF9C0000"/>
      </font>
      <fill>
        <patternFill>
          <bgColor rgb="FFFFC7CE"/>
        </patternFill>
      </fill>
    </dxf>
    <dxf>
      <fill>
        <patternFill patternType="lightUp"/>
      </fill>
    </dxf>
    <dxf>
      <font>
        <color rgb="FF3F3F76"/>
      </font>
      <fill>
        <patternFill>
          <bgColor rgb="FFFFCC99"/>
        </patternFill>
      </fill>
    </dxf>
    <dxf>
      <font>
        <color rgb="FF3F3F76"/>
      </font>
      <fill>
        <patternFill>
          <bgColor rgb="FFFFCC99"/>
        </patternFill>
      </fill>
      <border>
        <left style="thin">
          <color rgb="FF7F7F7F"/>
        </left>
        <right style="thin">
          <color rgb="FF7F7F7F"/>
        </right>
        <top style="thin">
          <color rgb="FF7F7F7F"/>
        </top>
        <bottom style="thin">
          <color rgb="FF7F7F7F"/>
        </bottom>
      </border>
    </dxf>
    <dxf>
      <font>
        <color theme="0"/>
      </font>
    </dxf>
    <dxf>
      <font>
        <color theme="0"/>
      </font>
    </dxf>
  </dxfs>
  <tableStyles count="0" defaultTableStyle="TableStyleMedium2" defaultPivotStyle="PivotStyleLight16"/>
  <colors>
    <mruColors>
      <color rgb="FFFFC7CE"/>
      <color rgb="FF9C0000"/>
      <color rgb="FFFF0000"/>
      <color rgb="FF006100"/>
      <color rgb="FFC6EFCE"/>
      <color rgb="FF7F7F7F"/>
      <color rgb="FFFFCC99"/>
      <color rgb="FF3F3F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7.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5" Type="http://schemas.openxmlformats.org/officeDocument/2006/relationships/image" Target="../media/image1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 Id="rId9" Type="http://schemas.openxmlformats.org/officeDocument/2006/relationships/image" Target="../media/image28.png"/></Relationships>
</file>

<file path=xl/drawings/_rels/drawing4.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22.png"/><Relationship Id="rId7" Type="http://schemas.openxmlformats.org/officeDocument/2006/relationships/image" Target="../media/image34.png"/><Relationship Id="rId12" Type="http://schemas.openxmlformats.org/officeDocument/2006/relationships/image" Target="../media/image39.pn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3.png"/><Relationship Id="rId11" Type="http://schemas.openxmlformats.org/officeDocument/2006/relationships/image" Target="../media/image38.png"/><Relationship Id="rId5" Type="http://schemas.openxmlformats.org/officeDocument/2006/relationships/image" Target="../media/image32.png"/><Relationship Id="rId10" Type="http://schemas.openxmlformats.org/officeDocument/2006/relationships/image" Target="../media/image37.png"/><Relationship Id="rId4" Type="http://schemas.openxmlformats.org/officeDocument/2006/relationships/image" Target="../media/image31.png"/><Relationship Id="rId9" Type="http://schemas.openxmlformats.org/officeDocument/2006/relationships/image" Target="../media/image36.png"/></Relationships>
</file>

<file path=xl/drawings/_rels/drawing5.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22.png"/><Relationship Id="rId7" Type="http://schemas.openxmlformats.org/officeDocument/2006/relationships/image" Target="../media/image34.pn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3.png"/><Relationship Id="rId11" Type="http://schemas.openxmlformats.org/officeDocument/2006/relationships/image" Target="../media/image38.png"/><Relationship Id="rId5" Type="http://schemas.openxmlformats.org/officeDocument/2006/relationships/image" Target="../media/image32.png"/><Relationship Id="rId10" Type="http://schemas.openxmlformats.org/officeDocument/2006/relationships/image" Target="../media/image39.png"/><Relationship Id="rId4" Type="http://schemas.openxmlformats.org/officeDocument/2006/relationships/image" Target="../media/image31.png"/><Relationship Id="rId9" Type="http://schemas.openxmlformats.org/officeDocument/2006/relationships/image" Target="../media/image3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41.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40.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5" Type="http://schemas.openxmlformats.org/officeDocument/2006/relationships/image" Target="../media/image1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s>
</file>

<file path=xl/drawings/_rels/drawing7.xml.rels><?xml version="1.0" encoding="UTF-8" standalone="yes"?>
<Relationships xmlns="http://schemas.openxmlformats.org/package/2006/relationships"><Relationship Id="rId8" Type="http://schemas.openxmlformats.org/officeDocument/2006/relationships/image" Target="../media/image46.png"/><Relationship Id="rId3" Type="http://schemas.openxmlformats.org/officeDocument/2006/relationships/image" Target="../media/image21.png"/><Relationship Id="rId7" Type="http://schemas.openxmlformats.org/officeDocument/2006/relationships/image" Target="../media/image45.png"/><Relationship Id="rId2" Type="http://schemas.openxmlformats.org/officeDocument/2006/relationships/image" Target="../media/image28.png"/><Relationship Id="rId1" Type="http://schemas.openxmlformats.org/officeDocument/2006/relationships/image" Target="../media/image25.png"/><Relationship Id="rId6" Type="http://schemas.openxmlformats.org/officeDocument/2006/relationships/image" Target="../media/image44.png"/><Relationship Id="rId5" Type="http://schemas.openxmlformats.org/officeDocument/2006/relationships/image" Target="../media/image43.png"/><Relationship Id="rId4" Type="http://schemas.openxmlformats.org/officeDocument/2006/relationships/image" Target="../media/image42.png"/></Relationships>
</file>

<file path=xl/drawings/_rels/drawing8.xml.rels><?xml version="1.0" encoding="UTF-8" standalone="yes"?>
<Relationships xmlns="http://schemas.openxmlformats.org/package/2006/relationships"><Relationship Id="rId8" Type="http://schemas.openxmlformats.org/officeDocument/2006/relationships/image" Target="../media/image36.png"/><Relationship Id="rId3" Type="http://schemas.openxmlformats.org/officeDocument/2006/relationships/image" Target="../media/image31.png"/><Relationship Id="rId7" Type="http://schemas.openxmlformats.org/officeDocument/2006/relationships/image" Target="../media/image35.pn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4.png"/><Relationship Id="rId11" Type="http://schemas.openxmlformats.org/officeDocument/2006/relationships/image" Target="../media/image38.png"/><Relationship Id="rId5" Type="http://schemas.openxmlformats.org/officeDocument/2006/relationships/image" Target="../media/image33.png"/><Relationship Id="rId10" Type="http://schemas.openxmlformats.org/officeDocument/2006/relationships/image" Target="../media/image39.png"/><Relationship Id="rId4" Type="http://schemas.openxmlformats.org/officeDocument/2006/relationships/image" Target="../media/image32.png"/><Relationship Id="rId9" Type="http://schemas.openxmlformats.org/officeDocument/2006/relationships/image" Target="../media/image37.png"/></Relationships>
</file>

<file path=xl/drawings/drawing1.xml><?xml version="1.0" encoding="utf-8"?>
<xdr:wsDr xmlns:xdr="http://schemas.openxmlformats.org/drawingml/2006/spreadsheetDrawing" xmlns:a="http://schemas.openxmlformats.org/drawingml/2006/main">
  <xdr:twoCellAnchor editAs="oneCell">
    <xdr:from>
      <xdr:col>2</xdr:col>
      <xdr:colOff>600074</xdr:colOff>
      <xdr:row>16</xdr:row>
      <xdr:rowOff>66675</xdr:rowOff>
    </xdr:from>
    <xdr:to>
      <xdr:col>6</xdr:col>
      <xdr:colOff>674815</xdr:colOff>
      <xdr:row>27</xdr:row>
      <xdr:rowOff>190500</xdr:rowOff>
    </xdr:to>
    <xdr:pic>
      <xdr:nvPicPr>
        <xdr:cNvPr id="4" name="IMG2x1">
          <a:extLst>
            <a:ext uri="{FF2B5EF4-FFF2-40B4-BE49-F238E27FC236}">
              <a16:creationId xmlns:a16="http://schemas.microsoft.com/office/drawing/2014/main" id="{52B81B9B-E49B-759C-72D6-D07258DC81AE}"/>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13603" t="21654" r="29657" b="21319"/>
        <a:stretch/>
      </xdr:blipFill>
      <xdr:spPr>
        <a:xfrm>
          <a:off x="1514474" y="3133725"/>
          <a:ext cx="3122741" cy="2219325"/>
        </a:xfrm>
        <a:prstGeom prst="rect">
          <a:avLst/>
        </a:prstGeom>
      </xdr:spPr>
    </xdr:pic>
    <xdr:clientData/>
  </xdr:twoCellAnchor>
  <xdr:twoCellAnchor editAs="oneCell">
    <xdr:from>
      <xdr:col>3</xdr:col>
      <xdr:colOff>38097</xdr:colOff>
      <xdr:row>16</xdr:row>
      <xdr:rowOff>28575</xdr:rowOff>
    </xdr:from>
    <xdr:to>
      <xdr:col>6</xdr:col>
      <xdr:colOff>738704</xdr:colOff>
      <xdr:row>28</xdr:row>
      <xdr:rowOff>76200</xdr:rowOff>
    </xdr:to>
    <xdr:pic>
      <xdr:nvPicPr>
        <xdr:cNvPr id="6" name="IMG2x2" hidden="1">
          <a:extLst>
            <a:ext uri="{FF2B5EF4-FFF2-40B4-BE49-F238E27FC236}">
              <a16:creationId xmlns:a16="http://schemas.microsoft.com/office/drawing/2014/main" id="{70EE4B56-B0FD-EAEC-EAE3-DDC80ED87ADB}"/>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1740" t="20105" r="14584" b="20341"/>
        <a:stretch/>
      </xdr:blipFill>
      <xdr:spPr>
        <a:xfrm rot="10800000">
          <a:off x="1714497" y="3095625"/>
          <a:ext cx="2986607" cy="2343150"/>
        </a:xfrm>
        <a:prstGeom prst="rect">
          <a:avLst/>
        </a:prstGeom>
        <a:noFill/>
      </xdr:spPr>
    </xdr:pic>
    <xdr:clientData/>
  </xdr:twoCellAnchor>
  <xdr:twoCellAnchor editAs="oneCell">
    <xdr:from>
      <xdr:col>3</xdr:col>
      <xdr:colOff>104774</xdr:colOff>
      <xdr:row>15</xdr:row>
      <xdr:rowOff>152399</xdr:rowOff>
    </xdr:from>
    <xdr:to>
      <xdr:col>7</xdr:col>
      <xdr:colOff>628650</xdr:colOff>
      <xdr:row>28</xdr:row>
      <xdr:rowOff>60607</xdr:rowOff>
    </xdr:to>
    <xdr:pic>
      <xdr:nvPicPr>
        <xdr:cNvPr id="8" name="IMG3x1" hidden="1">
          <a:extLst>
            <a:ext uri="{FF2B5EF4-FFF2-40B4-BE49-F238E27FC236}">
              <a16:creationId xmlns:a16="http://schemas.microsoft.com/office/drawing/2014/main" id="{5790756A-0B60-6C18-857E-7D904CDD17F6}"/>
            </a:ext>
          </a:extLst>
        </xdr:cNvPr>
        <xdr:cNvPicPr>
          <a:picLocks noChangeAspect="1"/>
        </xdr:cNvPicPr>
      </xdr:nvPicPr>
      <xdr:blipFill rotWithShape="1">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17647" t="22532" r="17524" b="15771"/>
        <a:stretch/>
      </xdr:blipFill>
      <xdr:spPr>
        <a:xfrm rot="10800000">
          <a:off x="1781174" y="3028949"/>
          <a:ext cx="3571876" cy="2403758"/>
        </a:xfrm>
        <a:prstGeom prst="rect">
          <a:avLst/>
        </a:prstGeom>
      </xdr:spPr>
    </xdr:pic>
    <xdr:clientData/>
  </xdr:twoCellAnchor>
  <xdr:twoCellAnchor editAs="oneCell">
    <xdr:from>
      <xdr:col>2</xdr:col>
      <xdr:colOff>665627</xdr:colOff>
      <xdr:row>16</xdr:row>
      <xdr:rowOff>6720</xdr:rowOff>
    </xdr:from>
    <xdr:to>
      <xdr:col>8</xdr:col>
      <xdr:colOff>38100</xdr:colOff>
      <xdr:row>27</xdr:row>
      <xdr:rowOff>164262</xdr:rowOff>
    </xdr:to>
    <xdr:pic>
      <xdr:nvPicPr>
        <xdr:cNvPr id="10" name="IMG3x2" hidden="1">
          <a:extLst>
            <a:ext uri="{FF2B5EF4-FFF2-40B4-BE49-F238E27FC236}">
              <a16:creationId xmlns:a16="http://schemas.microsoft.com/office/drawing/2014/main" id="{920A617A-704A-48E4-805F-6ECFFE4C26C9}"/>
            </a:ext>
          </a:extLst>
        </xdr:cNvPr>
        <xdr:cNvPicPr>
          <a:picLocks noChangeAspect="1"/>
        </xdr:cNvPicPr>
      </xdr:nvPicPr>
      <xdr:blipFill rotWithShape="1">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l="12868" t="23225" r="13971" b="17678"/>
        <a:stretch/>
      </xdr:blipFill>
      <xdr:spPr>
        <a:xfrm rot="10800000">
          <a:off x="1580027" y="3073770"/>
          <a:ext cx="3944473" cy="22530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98393</xdr:colOff>
      <xdr:row>26</xdr:row>
      <xdr:rowOff>32226</xdr:rowOff>
    </xdr:from>
    <xdr:ext cx="0" cy="0"/>
    <mc:AlternateContent xmlns:mc="http://schemas.openxmlformats.org/markup-compatibility/2006" xmlns:a14="http://schemas.microsoft.com/office/drawing/2010/main">
      <mc:Choice Requires="a14">
        <xdr:sp macro="" textlink="">
          <xdr:nvSpPr>
            <xdr:cNvPr id="16" name="ZoneTexte 15">
              <a:extLst>
                <a:ext uri="{FF2B5EF4-FFF2-40B4-BE49-F238E27FC236}">
                  <a16:creationId xmlns:a16="http://schemas.microsoft.com/office/drawing/2014/main" id="{0817D37E-052F-FD55-2258-764C2B72701F}"/>
                </a:ext>
              </a:extLst>
            </xdr:cNvPr>
            <xdr:cNvSpPr txBox="1"/>
          </xdr:nvSpPr>
          <xdr:spPr>
            <a:xfrm>
              <a:off x="4670393" y="5061426"/>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&lt;</m:t>
                    </m:r>
                    <m:f>
                      <m:fPr>
                        <m:type m:val="lin"/>
                        <m:ctrlPr>
                          <a:rPr lang="fr-FR" sz="1100" b="0" i="1">
                            <a:latin typeface="Cambria Math" panose="02040503050406030204" pitchFamily="18" charset="0"/>
                          </a:rPr>
                        </m:ctrlPr>
                      </m:fPr>
                      <m:num>
                        <m:sSub>
                          <m:sSubPr>
                            <m:ctrlPr>
                              <a:rPr lang="fr-FR" sz="1100" b="0" i="1">
                                <a:solidFill>
                                  <a:schemeClr val="tx1"/>
                                </a:solidFill>
                                <a:effectLst/>
                                <a:latin typeface="Cambria Math" panose="02040503050406030204" pitchFamily="18" charset="0"/>
                                <a:ea typeface="+mn-ea"/>
                                <a:cs typeface="+mn-cs"/>
                              </a:rPr>
                            </m:ctrlPr>
                          </m:sSubPr>
                          <m:e>
                            <m:r>
                              <a:rPr lang="fr-FR" sz="1100" b="0" i="1">
                                <a:solidFill>
                                  <a:schemeClr val="tx1"/>
                                </a:solidFill>
                                <a:effectLst/>
                                <a:latin typeface="Cambria Math" panose="02040503050406030204" pitchFamily="18" charset="0"/>
                                <a:ea typeface="+mn-ea"/>
                                <a:cs typeface="+mn-cs"/>
                              </a:rPr>
                              <m:t>𝑓</m:t>
                            </m:r>
                          </m:e>
                          <m:sub>
                            <m:r>
                              <a:rPr lang="fr-FR" sz="1100" b="0" i="1">
                                <a:solidFill>
                                  <a:schemeClr val="tx1"/>
                                </a:solidFill>
                                <a:effectLst/>
                                <a:latin typeface="Cambria Math" panose="02040503050406030204" pitchFamily="18" charset="0"/>
                                <a:ea typeface="+mn-ea"/>
                                <a:cs typeface="+mn-cs"/>
                              </a:rPr>
                              <m:t>𝑦</m:t>
                            </m:r>
                          </m:sub>
                        </m:sSub>
                      </m:num>
                      <m:den/>
                    </m:f>
                    <m:f>
                      <m:fPr>
                        <m:type m:val="lin"/>
                        <m:ctrlPr>
                          <a:rPr lang="fr-FR" sz="1100" b="0" i="1">
                            <a:latin typeface="Cambria Math" panose="02040503050406030204" pitchFamily="18" charset="0"/>
                          </a:rPr>
                        </m:ctrlPr>
                      </m:fPr>
                      <m:num/>
                      <m:den>
                        <m:sSub>
                          <m:sSubPr>
                            <m:ctrlPr>
                              <a:rPr lang="fr-FR" sz="1100" b="0" i="1">
                                <a:latin typeface="Cambria Math" panose="02040503050406030204" pitchFamily="18" charset="0"/>
                              </a:rPr>
                            </m:ctrlPr>
                          </m:sSubPr>
                          <m:e>
                            <m:r>
                              <a:rPr lang="fr-FR" sz="1100" b="0" i="1">
                                <a:latin typeface="Cambria Math" panose="02040503050406030204" pitchFamily="18" charset="0"/>
                              </a:rPr>
                              <m:t>𝑚</m:t>
                            </m:r>
                            <m:r>
                              <a:rPr lang="fr-FR" sz="1100" b="0" i="1">
                                <a:latin typeface="Cambria Math" panose="02040503050406030204" pitchFamily="18" charset="0"/>
                              </a:rPr>
                              <m:t>0</m:t>
                            </m:r>
                          </m:e>
                          <m:sub/>
                        </m:sSub>
                      </m:den>
                    </m:f>
                  </m:oMath>
                </m:oMathPara>
              </a14:m>
              <a:endParaRPr lang="fr-FR" sz="1100"/>
            </a:p>
          </xdr:txBody>
        </xdr:sp>
      </mc:Choice>
      <mc:Fallback xmlns="">
        <xdr:sp macro="" textlink="">
          <xdr:nvSpPr>
            <xdr:cNvPr id="16" name="ZoneTexte 15">
              <a:extLst>
                <a:ext uri="{FF2B5EF4-FFF2-40B4-BE49-F238E27FC236}">
                  <a16:creationId xmlns:a16="http://schemas.microsoft.com/office/drawing/2014/main" id="{0817D37E-052F-FD55-2258-764C2B72701F}"/>
                </a:ext>
              </a:extLst>
            </xdr:cNvPr>
            <xdr:cNvSpPr txBox="1"/>
          </xdr:nvSpPr>
          <xdr:spPr>
            <a:xfrm>
              <a:off x="4670393" y="5061426"/>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b="0" i="0">
                  <a:latin typeface="Cambria Math" panose="02040503050406030204" pitchFamily="18" charset="0"/>
                </a:rPr>
                <a:t>&lt;</a:t>
              </a:r>
              <a:r>
                <a:rPr lang="fr-FR" sz="1100" b="0" i="0">
                  <a:solidFill>
                    <a:schemeClr val="tx1"/>
                  </a:solidFill>
                  <a:effectLst/>
                  <a:latin typeface="+mn-lt"/>
                  <a:ea typeface="+mn-ea"/>
                  <a:cs typeface="+mn-cs"/>
                </a:rPr>
                <a:t>𝑓_𝑦</a:t>
              </a:r>
              <a:r>
                <a:rPr lang="fr-FR" sz="1100" b="0" i="0">
                  <a:solidFill>
                    <a:schemeClr val="tx1"/>
                  </a:solidFill>
                  <a:effectLst/>
                  <a:latin typeface="Cambria Math" panose="02040503050406030204" pitchFamily="18" charset="0"/>
                  <a:ea typeface="+mn-ea"/>
                  <a:cs typeface="+mn-cs"/>
                </a:rPr>
                <a:t>∕ </a:t>
              </a:r>
              <a:r>
                <a:rPr lang="fr-FR" sz="1100" b="0" i="0">
                  <a:latin typeface="Cambria Math" panose="02040503050406030204" pitchFamily="18" charset="0"/>
                </a:rPr>
                <a:t> ∕〖𝑚0〗 </a:t>
              </a:r>
              <a:endParaRPr lang="fr-FR" sz="1100"/>
            </a:p>
          </xdr:txBody>
        </xdr:sp>
      </mc:Fallback>
    </mc:AlternateContent>
    <xdr:clientData/>
  </xdr:oneCellAnchor>
  <xdr:oneCellAnchor>
    <xdr:from>
      <xdr:col>5</xdr:col>
      <xdr:colOff>57150</xdr:colOff>
      <xdr:row>31</xdr:row>
      <xdr:rowOff>4762</xdr:rowOff>
    </xdr:from>
    <xdr:ext cx="609526" cy="182935"/>
    <mc:AlternateContent xmlns:mc="http://schemas.openxmlformats.org/markup-compatibility/2006" xmlns:a14="http://schemas.microsoft.com/office/drawing/2010/main">
      <mc:Choice Requires="a14">
        <xdr:sp macro="" textlink="">
          <xdr:nvSpPr>
            <xdr:cNvPr id="18" name="ZoneTexte 17">
              <a:extLst>
                <a:ext uri="{FF2B5EF4-FFF2-40B4-BE49-F238E27FC236}">
                  <a16:creationId xmlns:a16="http://schemas.microsoft.com/office/drawing/2014/main" id="{93579AEC-8FB6-CB7F-D39D-9A702A7ADA6A}"/>
                </a:ext>
              </a:extLst>
            </xdr:cNvPr>
            <xdr:cNvSpPr txBox="1"/>
          </xdr:nvSpPr>
          <xdr:spPr>
            <a:xfrm>
              <a:off x="3867150" y="60055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18" name="ZoneTexte 17">
              <a:extLst>
                <a:ext uri="{FF2B5EF4-FFF2-40B4-BE49-F238E27FC236}">
                  <a16:creationId xmlns:a16="http://schemas.microsoft.com/office/drawing/2014/main" id="{93579AEC-8FB6-CB7F-D39D-9A702A7ADA6A}"/>
                </a:ext>
              </a:extLst>
            </xdr:cNvPr>
            <xdr:cNvSpPr txBox="1"/>
          </xdr:nvSpPr>
          <xdr:spPr>
            <a:xfrm>
              <a:off x="3867150" y="60055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57150</xdr:colOff>
      <xdr:row>32</xdr:row>
      <xdr:rowOff>4762</xdr:rowOff>
    </xdr:from>
    <xdr:ext cx="609526" cy="182935"/>
    <mc:AlternateContent xmlns:mc="http://schemas.openxmlformats.org/markup-compatibility/2006" xmlns:a14="http://schemas.microsoft.com/office/drawing/2010/main">
      <mc:Choice Requires="a14">
        <xdr:sp macro="" textlink="">
          <xdr:nvSpPr>
            <xdr:cNvPr id="19" name="ZoneTexte 18">
              <a:extLst>
                <a:ext uri="{FF2B5EF4-FFF2-40B4-BE49-F238E27FC236}">
                  <a16:creationId xmlns:a16="http://schemas.microsoft.com/office/drawing/2014/main" id="{4C209EDC-6267-42DC-AAD3-44933A422280}"/>
                </a:ext>
              </a:extLst>
            </xdr:cNvPr>
            <xdr:cNvSpPr txBox="1"/>
          </xdr:nvSpPr>
          <xdr:spPr>
            <a:xfrm>
              <a:off x="3867150" y="61960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19" name="ZoneTexte 18">
              <a:extLst>
                <a:ext uri="{FF2B5EF4-FFF2-40B4-BE49-F238E27FC236}">
                  <a16:creationId xmlns:a16="http://schemas.microsoft.com/office/drawing/2014/main" id="{4C209EDC-6267-42DC-AAD3-44933A422280}"/>
                </a:ext>
              </a:extLst>
            </xdr:cNvPr>
            <xdr:cNvSpPr txBox="1"/>
          </xdr:nvSpPr>
          <xdr:spPr>
            <a:xfrm>
              <a:off x="3867150" y="61960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39</xdr:row>
      <xdr:rowOff>0</xdr:rowOff>
    </xdr:from>
    <xdr:ext cx="609526" cy="182935"/>
    <mc:AlternateContent xmlns:mc="http://schemas.openxmlformats.org/markup-compatibility/2006" xmlns:a14="http://schemas.microsoft.com/office/drawing/2010/main">
      <mc:Choice Requires="a14">
        <xdr:sp macro="" textlink="">
          <xdr:nvSpPr>
            <xdr:cNvPr id="21" name="ZoneTexte 20">
              <a:extLst>
                <a:ext uri="{FF2B5EF4-FFF2-40B4-BE49-F238E27FC236}">
                  <a16:creationId xmlns:a16="http://schemas.microsoft.com/office/drawing/2014/main" id="{4F17311D-8CB4-4E32-98B0-499A111F9BC5}"/>
                </a:ext>
              </a:extLst>
            </xdr:cNvPr>
            <xdr:cNvSpPr txBox="1"/>
          </xdr:nvSpPr>
          <xdr:spPr>
            <a:xfrm>
              <a:off x="3810000" y="75247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21" name="ZoneTexte 20">
              <a:extLst>
                <a:ext uri="{FF2B5EF4-FFF2-40B4-BE49-F238E27FC236}">
                  <a16:creationId xmlns:a16="http://schemas.microsoft.com/office/drawing/2014/main" id="{4F17311D-8CB4-4E32-98B0-499A111F9BC5}"/>
                </a:ext>
              </a:extLst>
            </xdr:cNvPr>
            <xdr:cNvSpPr txBox="1"/>
          </xdr:nvSpPr>
          <xdr:spPr>
            <a:xfrm>
              <a:off x="3810000" y="75247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42</xdr:row>
      <xdr:rowOff>0</xdr:rowOff>
    </xdr:from>
    <xdr:ext cx="609526" cy="182935"/>
    <mc:AlternateContent xmlns:mc="http://schemas.openxmlformats.org/markup-compatibility/2006" xmlns:a14="http://schemas.microsoft.com/office/drawing/2010/main">
      <mc:Choice Requires="a14">
        <xdr:sp macro="" textlink="">
          <xdr:nvSpPr>
            <xdr:cNvPr id="22" name="ZoneTexte 21">
              <a:extLst>
                <a:ext uri="{FF2B5EF4-FFF2-40B4-BE49-F238E27FC236}">
                  <a16:creationId xmlns:a16="http://schemas.microsoft.com/office/drawing/2014/main" id="{07BD6C97-51FD-4C4B-891F-AD3D0FC7B982}"/>
                </a:ext>
              </a:extLst>
            </xdr:cNvPr>
            <xdr:cNvSpPr txBox="1"/>
          </xdr:nvSpPr>
          <xdr:spPr>
            <a:xfrm>
              <a:off x="3810000" y="80962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22" name="ZoneTexte 21">
              <a:extLst>
                <a:ext uri="{FF2B5EF4-FFF2-40B4-BE49-F238E27FC236}">
                  <a16:creationId xmlns:a16="http://schemas.microsoft.com/office/drawing/2014/main" id="{07BD6C97-51FD-4C4B-891F-AD3D0FC7B982}"/>
                </a:ext>
              </a:extLst>
            </xdr:cNvPr>
            <xdr:cNvSpPr txBox="1"/>
          </xdr:nvSpPr>
          <xdr:spPr>
            <a:xfrm>
              <a:off x="3810000" y="80962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49</xdr:row>
      <xdr:rowOff>4762</xdr:rowOff>
    </xdr:from>
    <xdr:ext cx="938077" cy="206467"/>
    <mc:AlternateContent xmlns:mc="http://schemas.openxmlformats.org/markup-compatibility/2006" xmlns:a14="http://schemas.microsoft.com/office/drawing/2010/main">
      <mc:Choice Requires="a14">
        <xdr:sp macro="" textlink="">
          <xdr:nvSpPr>
            <xdr:cNvPr id="5" name="ZoneTexte 4">
              <a:extLst>
                <a:ext uri="{FF2B5EF4-FFF2-40B4-BE49-F238E27FC236}">
                  <a16:creationId xmlns:a16="http://schemas.microsoft.com/office/drawing/2014/main" id="{77E6FB09-C1F6-C762-AC2C-D3802C434D10}"/>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f>
                      <m:fPr>
                        <m:type m:val="lin"/>
                        <m:ctrlPr>
                          <a:rPr lang="fr-FR" sz="1100" i="1">
                            <a:latin typeface="Cambria Math" panose="02040503050406030204" pitchFamily="18" charset="0"/>
                            <a:ea typeface="Cambria Math" panose="02040503050406030204" pitchFamily="18" charset="0"/>
                          </a:rPr>
                        </m:ctrlPr>
                      </m:fPr>
                      <m:num>
                        <m:sSub>
                          <m:sSubPr>
                            <m:ctrlPr>
                              <a:rPr lang="fr-FR" sz="1100" i="1">
                                <a:latin typeface="Cambria Math" panose="02040503050406030204" pitchFamily="18" charset="0"/>
                                <a:ea typeface="Cambria Math" panose="02040503050406030204" pitchFamily="18" charset="0"/>
                              </a:rPr>
                            </m:ctrlPr>
                          </m:sSubPr>
                          <m:e>
                            <m:r>
                              <a:rPr lang="fr-FR" sz="1100" b="0" i="1">
                                <a:latin typeface="Cambria Math" panose="02040503050406030204" pitchFamily="18" charset="0"/>
                                <a:ea typeface="Cambria Math" panose="02040503050406030204" pitchFamily="18" charset="0"/>
                              </a:rPr>
                              <m:t>𝑓</m:t>
                            </m:r>
                          </m:e>
                          <m:sub>
                            <m:r>
                              <a:rPr lang="fr-FR" sz="1100" b="0" i="1">
                                <a:latin typeface="Cambria Math" panose="02040503050406030204" pitchFamily="18" charset="0"/>
                                <a:ea typeface="Cambria Math" panose="02040503050406030204" pitchFamily="18" charset="0"/>
                              </a:rPr>
                              <m:t>𝑦</m:t>
                            </m:r>
                          </m:sub>
                        </m:sSub>
                      </m:num>
                      <m:den>
                        <m:rad>
                          <m:radPr>
                            <m:degHide m:val="on"/>
                            <m:ctrlPr>
                              <a:rPr lang="fr-FR" sz="1100" i="1">
                                <a:latin typeface="Cambria Math" panose="02040503050406030204" pitchFamily="18" charset="0"/>
                                <a:ea typeface="Cambria Math" panose="02040503050406030204" pitchFamily="18" charset="0"/>
                              </a:rPr>
                            </m:ctrlPr>
                          </m:radPr>
                          <m:deg/>
                          <m:e>
                            <m:r>
                              <a:rPr lang="fr-FR" sz="1100" b="0" i="1">
                                <a:latin typeface="Cambria Math" panose="02040503050406030204" pitchFamily="18" charset="0"/>
                                <a:ea typeface="Cambria Math" panose="02040503050406030204" pitchFamily="18" charset="0"/>
                              </a:rPr>
                              <m:t>3</m:t>
                            </m:r>
                          </m:e>
                        </m:rad>
                        <m:r>
                          <a:rPr lang="fr-FR" sz="1100" i="1">
                            <a:latin typeface="Cambria Math" panose="02040503050406030204" pitchFamily="18" charset="0"/>
                            <a:ea typeface="Cambria Math" panose="02040503050406030204" pitchFamily="18" charset="0"/>
                          </a:rPr>
                          <m:t>×</m:t>
                        </m:r>
                        <m:sSub>
                          <m:sSubPr>
                            <m:ctrlPr>
                              <a:rPr lang="fr-FR" sz="1100" i="1">
                                <a:latin typeface="Cambria Math" panose="02040503050406030204" pitchFamily="18" charset="0"/>
                                <a:ea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ea typeface="Cambria Math" panose="02040503050406030204" pitchFamily="18" charset="0"/>
                              </a:rPr>
                              <m:t>𝑀</m:t>
                            </m:r>
                            <m:r>
                              <a:rPr lang="fr-FR" sz="1100" b="0" i="1">
                                <a:latin typeface="Cambria Math" panose="02040503050406030204" pitchFamily="18" charset="0"/>
                                <a:ea typeface="Cambria Math" panose="02040503050406030204" pitchFamily="18" charset="0"/>
                              </a:rPr>
                              <m:t>0</m:t>
                            </m:r>
                          </m:sub>
                        </m:sSub>
                      </m:den>
                    </m:f>
                  </m:oMath>
                </m:oMathPara>
              </a14:m>
              <a:endParaRPr lang="fr-FR" sz="1100"/>
            </a:p>
          </xdr:txBody>
        </xdr:sp>
      </mc:Choice>
      <mc:Fallback xmlns="">
        <xdr:sp macro="" textlink="">
          <xdr:nvSpPr>
            <xdr:cNvPr id="5" name="ZoneTexte 4">
              <a:extLst>
                <a:ext uri="{FF2B5EF4-FFF2-40B4-BE49-F238E27FC236}">
                  <a16:creationId xmlns:a16="http://schemas.microsoft.com/office/drawing/2014/main" id="{77E6FB09-C1F6-C762-AC2C-D3802C434D10}"/>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𝑓_𝑦∕〖√3</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ea typeface="Cambria Math" panose="02040503050406030204" pitchFamily="18" charset="0"/>
                </a:rPr>
                <a:t>𝑀0 〗</a:t>
              </a:r>
              <a:endParaRPr lang="fr-FR" sz="1100"/>
            </a:p>
          </xdr:txBody>
        </xdr:sp>
      </mc:Fallback>
    </mc:AlternateContent>
    <xdr:clientData/>
  </xdr:oneCellAnchor>
  <xdr:oneCellAnchor>
    <xdr:from>
      <xdr:col>5</xdr:col>
      <xdr:colOff>0</xdr:colOff>
      <xdr:row>55</xdr:row>
      <xdr:rowOff>0</xdr:rowOff>
    </xdr:from>
    <xdr:ext cx="609526" cy="182935"/>
    <mc:AlternateContent xmlns:mc="http://schemas.openxmlformats.org/markup-compatibility/2006" xmlns:a14="http://schemas.microsoft.com/office/drawing/2010/main">
      <mc:Choice Requires="a14">
        <xdr:sp macro="" textlink="">
          <xdr:nvSpPr>
            <xdr:cNvPr id="6" name="ZoneTexte 5">
              <a:extLst>
                <a:ext uri="{FF2B5EF4-FFF2-40B4-BE49-F238E27FC236}">
                  <a16:creationId xmlns:a16="http://schemas.microsoft.com/office/drawing/2014/main" id="{17E025A4-68A3-4FE6-B10B-1069D30BDA88}"/>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6" name="ZoneTexte 5">
              <a:extLst>
                <a:ext uri="{FF2B5EF4-FFF2-40B4-BE49-F238E27FC236}">
                  <a16:creationId xmlns:a16="http://schemas.microsoft.com/office/drawing/2014/main" id="{17E025A4-68A3-4FE6-B10B-1069D30BDA88}"/>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twoCellAnchor>
    <xdr:from>
      <xdr:col>21</xdr:col>
      <xdr:colOff>57150</xdr:colOff>
      <xdr:row>3</xdr:row>
      <xdr:rowOff>104775</xdr:rowOff>
    </xdr:from>
    <xdr:to>
      <xdr:col>22</xdr:col>
      <xdr:colOff>485775</xdr:colOff>
      <xdr:row>5</xdr:row>
      <xdr:rowOff>57150</xdr:rowOff>
    </xdr:to>
    <xdr:pic>
      <xdr:nvPicPr>
        <xdr:cNvPr id="23" name="Image 22">
          <a:extLst>
            <a:ext uri="{FF2B5EF4-FFF2-40B4-BE49-F238E27FC236}">
              <a16:creationId xmlns:a16="http://schemas.microsoft.com/office/drawing/2014/main" id="{497993E4-8BBA-8521-1D24-0E8FED3818D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35150" y="685800"/>
          <a:ext cx="11906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85725</xdr:colOff>
      <xdr:row>5</xdr:row>
      <xdr:rowOff>190500</xdr:rowOff>
    </xdr:from>
    <xdr:to>
      <xdr:col>21</xdr:col>
      <xdr:colOff>600075</xdr:colOff>
      <xdr:row>6</xdr:row>
      <xdr:rowOff>171450</xdr:rowOff>
    </xdr:to>
    <xdr:pic>
      <xdr:nvPicPr>
        <xdr:cNvPr id="24" name="Image 23">
          <a:extLst>
            <a:ext uri="{FF2B5EF4-FFF2-40B4-BE49-F238E27FC236}">
              <a16:creationId xmlns:a16="http://schemas.microsoft.com/office/drawing/2014/main" id="{FF92653A-4B02-C084-C3DC-BD9A5EE7CB5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63725" y="1162050"/>
          <a:ext cx="514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38100</xdr:colOff>
      <xdr:row>7</xdr:row>
      <xdr:rowOff>123825</xdr:rowOff>
    </xdr:from>
    <xdr:to>
      <xdr:col>22</xdr:col>
      <xdr:colOff>114300</xdr:colOff>
      <xdr:row>9</xdr:row>
      <xdr:rowOff>57150</xdr:rowOff>
    </xdr:to>
    <xdr:pic>
      <xdr:nvPicPr>
        <xdr:cNvPr id="25" name="Image 24">
          <a:extLst>
            <a:ext uri="{FF2B5EF4-FFF2-40B4-BE49-F238E27FC236}">
              <a16:creationId xmlns:a16="http://schemas.microsoft.com/office/drawing/2014/main" id="{27862B39-7AB6-4C5C-7F98-475EADD2A312}"/>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64100" y="514350"/>
          <a:ext cx="7620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9</xdr:row>
      <xdr:rowOff>161925</xdr:rowOff>
    </xdr:from>
    <xdr:to>
      <xdr:col>24</xdr:col>
      <xdr:colOff>628650</xdr:colOff>
      <xdr:row>11</xdr:row>
      <xdr:rowOff>104775</xdr:rowOff>
    </xdr:to>
    <xdr:pic>
      <xdr:nvPicPr>
        <xdr:cNvPr id="26" name="Image 25">
          <a:extLst>
            <a:ext uri="{FF2B5EF4-FFF2-40B4-BE49-F238E27FC236}">
              <a16:creationId xmlns:a16="http://schemas.microsoft.com/office/drawing/2014/main" id="{027CDFDD-3F0F-89F2-0FED-9351293775A1}"/>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316700" y="552450"/>
          <a:ext cx="188595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11</xdr:row>
      <xdr:rowOff>142875</xdr:rowOff>
    </xdr:from>
    <xdr:to>
      <xdr:col>22</xdr:col>
      <xdr:colOff>247650</xdr:colOff>
      <xdr:row>13</xdr:row>
      <xdr:rowOff>57150</xdr:rowOff>
    </xdr:to>
    <xdr:pic>
      <xdr:nvPicPr>
        <xdr:cNvPr id="27" name="Image 26">
          <a:extLst>
            <a:ext uri="{FF2B5EF4-FFF2-40B4-BE49-F238E27FC236}">
              <a16:creationId xmlns:a16="http://schemas.microsoft.com/office/drawing/2014/main" id="{31632B94-BB84-06C3-9FA2-B2426F6314F4}"/>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687925" y="1714500"/>
          <a:ext cx="857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13</xdr:row>
      <xdr:rowOff>171450</xdr:rowOff>
    </xdr:from>
    <xdr:to>
      <xdr:col>23</xdr:col>
      <xdr:colOff>447675</xdr:colOff>
      <xdr:row>15</xdr:row>
      <xdr:rowOff>133350</xdr:rowOff>
    </xdr:to>
    <xdr:pic>
      <xdr:nvPicPr>
        <xdr:cNvPr id="28" name="Image 27">
          <a:extLst>
            <a:ext uri="{FF2B5EF4-FFF2-40B4-BE49-F238E27FC236}">
              <a16:creationId xmlns:a16="http://schemas.microsoft.com/office/drawing/2014/main" id="{2F8CF199-D41C-8E01-B299-310C59D45438}"/>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973925" y="1743075"/>
          <a:ext cx="10477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238125</xdr:colOff>
      <xdr:row>15</xdr:row>
      <xdr:rowOff>171450</xdr:rowOff>
    </xdr:from>
    <xdr:to>
      <xdr:col>23</xdr:col>
      <xdr:colOff>0</xdr:colOff>
      <xdr:row>17</xdr:row>
      <xdr:rowOff>123825</xdr:rowOff>
    </xdr:to>
    <xdr:pic>
      <xdr:nvPicPr>
        <xdr:cNvPr id="29" name="Image 28">
          <a:extLst>
            <a:ext uri="{FF2B5EF4-FFF2-40B4-BE49-F238E27FC236}">
              <a16:creationId xmlns:a16="http://schemas.microsoft.com/office/drawing/2014/main" id="{D936A6B9-4FEB-445B-E87D-A89D180914C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716125" y="2886075"/>
          <a:ext cx="5238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647700</xdr:colOff>
      <xdr:row>20</xdr:row>
      <xdr:rowOff>123825</xdr:rowOff>
    </xdr:from>
    <xdr:to>
      <xdr:col>27</xdr:col>
      <xdr:colOff>9525</xdr:colOff>
      <xdr:row>22</xdr:row>
      <xdr:rowOff>76200</xdr:rowOff>
    </xdr:to>
    <xdr:pic>
      <xdr:nvPicPr>
        <xdr:cNvPr id="31" name="Image 30">
          <a:extLst>
            <a:ext uri="{FF2B5EF4-FFF2-40B4-BE49-F238E27FC236}">
              <a16:creationId xmlns:a16="http://schemas.microsoft.com/office/drawing/2014/main" id="{3E8C8500-4DFA-D79D-D999-BBD6CAB12409}"/>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887700" y="4200525"/>
          <a:ext cx="24098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238125</xdr:colOff>
      <xdr:row>29</xdr:row>
      <xdr:rowOff>76200</xdr:rowOff>
    </xdr:from>
    <xdr:to>
      <xdr:col>13</xdr:col>
      <xdr:colOff>104775</xdr:colOff>
      <xdr:row>31</xdr:row>
      <xdr:rowOff>57150</xdr:rowOff>
    </xdr:to>
    <xdr:pic>
      <xdr:nvPicPr>
        <xdr:cNvPr id="33" name="Image 32">
          <a:extLst>
            <a:ext uri="{FF2B5EF4-FFF2-40B4-BE49-F238E27FC236}">
              <a16:creationId xmlns:a16="http://schemas.microsoft.com/office/drawing/2014/main" id="{4A819BF6-8F08-E424-F902-72BC6E09D7DC}"/>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82125" y="5705475"/>
          <a:ext cx="6286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619125</xdr:colOff>
      <xdr:row>29</xdr:row>
      <xdr:rowOff>95250</xdr:rowOff>
    </xdr:from>
    <xdr:to>
      <xdr:col>15</xdr:col>
      <xdr:colOff>333375</xdr:colOff>
      <xdr:row>31</xdr:row>
      <xdr:rowOff>95250</xdr:rowOff>
    </xdr:to>
    <xdr:pic>
      <xdr:nvPicPr>
        <xdr:cNvPr id="38" name="Image 37">
          <a:extLst>
            <a:ext uri="{FF2B5EF4-FFF2-40B4-BE49-F238E27FC236}">
              <a16:creationId xmlns:a16="http://schemas.microsoft.com/office/drawing/2014/main" id="{50F20D1A-E73F-69EB-59DD-971E4DB91683}"/>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25125" y="5724525"/>
          <a:ext cx="12382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180975</xdr:colOff>
      <xdr:row>17</xdr:row>
      <xdr:rowOff>123825</xdr:rowOff>
    </xdr:from>
    <xdr:to>
      <xdr:col>24</xdr:col>
      <xdr:colOff>381000</xdr:colOff>
      <xdr:row>19</xdr:row>
      <xdr:rowOff>85725</xdr:rowOff>
    </xdr:to>
    <xdr:pic>
      <xdr:nvPicPr>
        <xdr:cNvPr id="40" name="Image 39">
          <a:extLst>
            <a:ext uri="{FF2B5EF4-FFF2-40B4-BE49-F238E27FC236}">
              <a16:creationId xmlns:a16="http://schemas.microsoft.com/office/drawing/2014/main" id="{EB0CC4DA-9AE0-DF82-276A-0D0FDA5B3CF5}"/>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3802975" y="2638425"/>
          <a:ext cx="17240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47625</xdr:colOff>
      <xdr:row>49</xdr:row>
      <xdr:rowOff>171450</xdr:rowOff>
    </xdr:from>
    <xdr:to>
      <xdr:col>25</xdr:col>
      <xdr:colOff>304800</xdr:colOff>
      <xdr:row>51</xdr:row>
      <xdr:rowOff>180975</xdr:rowOff>
    </xdr:to>
    <xdr:pic>
      <xdr:nvPicPr>
        <xdr:cNvPr id="2" name="Image 1">
          <a:extLst>
            <a:ext uri="{FF2B5EF4-FFF2-40B4-BE49-F238E27FC236}">
              <a16:creationId xmlns:a16="http://schemas.microsoft.com/office/drawing/2014/main" id="{65043E13-5826-6D1D-D6F5-578D6AD6BBF2}"/>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87625" y="9639300"/>
          <a:ext cx="40671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48</xdr:row>
      <xdr:rowOff>0</xdr:rowOff>
    </xdr:from>
    <xdr:to>
      <xdr:col>22</xdr:col>
      <xdr:colOff>238125</xdr:colOff>
      <xdr:row>49</xdr:row>
      <xdr:rowOff>142875</xdr:rowOff>
    </xdr:to>
    <xdr:pic>
      <xdr:nvPicPr>
        <xdr:cNvPr id="7" name="Image 6">
          <a:extLst>
            <a:ext uri="{FF2B5EF4-FFF2-40B4-BE49-F238E27FC236}">
              <a16:creationId xmlns:a16="http://schemas.microsoft.com/office/drawing/2014/main" id="{91DC595F-A782-0B13-7984-4D8393DB6CEB}"/>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9277350"/>
          <a:ext cx="1762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542925</xdr:colOff>
      <xdr:row>31</xdr:row>
      <xdr:rowOff>76200</xdr:rowOff>
    </xdr:from>
    <xdr:to>
      <xdr:col>16</xdr:col>
      <xdr:colOff>361950</xdr:colOff>
      <xdr:row>33</xdr:row>
      <xdr:rowOff>85725</xdr:rowOff>
    </xdr:to>
    <xdr:pic>
      <xdr:nvPicPr>
        <xdr:cNvPr id="8" name="Image 7">
          <a:extLst>
            <a:ext uri="{FF2B5EF4-FFF2-40B4-BE49-F238E27FC236}">
              <a16:creationId xmlns:a16="http://schemas.microsoft.com/office/drawing/2014/main" id="{4E7A0948-2789-EECB-9D21-198659A52164}"/>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448925" y="6086475"/>
          <a:ext cx="21050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23</xdr:row>
      <xdr:rowOff>0</xdr:rowOff>
    </xdr:from>
    <xdr:to>
      <xdr:col>27</xdr:col>
      <xdr:colOff>638175</xdr:colOff>
      <xdr:row>28</xdr:row>
      <xdr:rowOff>161925</xdr:rowOff>
    </xdr:to>
    <xdr:pic>
      <xdr:nvPicPr>
        <xdr:cNvPr id="3" name="Image 2">
          <a:extLst>
            <a:ext uri="{FF2B5EF4-FFF2-40B4-BE49-F238E27FC236}">
              <a16:creationId xmlns:a16="http://schemas.microsoft.com/office/drawing/2014/main" id="{A570F9DD-95E5-5F2F-E5B2-0D4E64688D1E}"/>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4467225"/>
          <a:ext cx="597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168275</xdr:colOff>
      <xdr:row>6</xdr:row>
      <xdr:rowOff>9525</xdr:rowOff>
    </xdr:from>
    <xdr:to>
      <xdr:col>21</xdr:col>
      <xdr:colOff>92075</xdr:colOff>
      <xdr:row>19</xdr:row>
      <xdr:rowOff>105221</xdr:rowOff>
    </xdr:to>
    <xdr:pic>
      <xdr:nvPicPr>
        <xdr:cNvPr id="2" name="Image 1">
          <a:extLst>
            <a:ext uri="{FF2B5EF4-FFF2-40B4-BE49-F238E27FC236}">
              <a16:creationId xmlns:a16="http://schemas.microsoft.com/office/drawing/2014/main" id="{CCB67FAD-24C0-4D00-93A8-3BDB2F1880BE}"/>
            </a:ext>
          </a:extLst>
        </xdr:cNvPr>
        <xdr:cNvPicPr>
          <a:picLocks noChangeAspect="1"/>
        </xdr:cNvPicPr>
      </xdr:nvPicPr>
      <xdr:blipFill>
        <a:blip xmlns:r="http://schemas.openxmlformats.org/officeDocument/2006/relationships" r:embed="rId1"/>
        <a:stretch>
          <a:fillRect/>
        </a:stretch>
      </xdr:blipFill>
      <xdr:spPr>
        <a:xfrm>
          <a:off x="12360275" y="1171575"/>
          <a:ext cx="3733800" cy="2591246"/>
        </a:xfrm>
        <a:prstGeom prst="rect">
          <a:avLst/>
        </a:prstGeom>
      </xdr:spPr>
    </xdr:pic>
    <xdr:clientData/>
  </xdr:twoCellAnchor>
  <xdr:oneCellAnchor>
    <xdr:from>
      <xdr:col>5</xdr:col>
      <xdr:colOff>28575</xdr:colOff>
      <xdr:row>26</xdr:row>
      <xdr:rowOff>14287</xdr:rowOff>
    </xdr:from>
    <xdr:ext cx="421141" cy="172227"/>
    <mc:AlternateContent xmlns:mc="http://schemas.openxmlformats.org/markup-compatibility/2006" xmlns:a14="http://schemas.microsoft.com/office/drawing/2010/main">
      <mc:Choice Requires="a14">
        <xdr:sp macro="" textlink="">
          <xdr:nvSpPr>
            <xdr:cNvPr id="15" name="ZoneTexte 14">
              <a:extLst>
                <a:ext uri="{FF2B5EF4-FFF2-40B4-BE49-F238E27FC236}">
                  <a16:creationId xmlns:a16="http://schemas.microsoft.com/office/drawing/2014/main" id="{38A61A6E-4C6A-036E-47F3-90217B768078}"/>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𝑉𝑒𝑑</m:t>
                    </m:r>
                  </m:oMath>
                </m:oMathPara>
              </a14:m>
              <a:endParaRPr lang="fr-FR" sz="1100"/>
            </a:p>
          </xdr:txBody>
        </xdr:sp>
      </mc:Choice>
      <mc:Fallback xmlns="">
        <xdr:sp macro="" textlink="">
          <xdr:nvSpPr>
            <xdr:cNvPr id="15" name="ZoneTexte 14">
              <a:extLst>
                <a:ext uri="{FF2B5EF4-FFF2-40B4-BE49-F238E27FC236}">
                  <a16:creationId xmlns:a16="http://schemas.microsoft.com/office/drawing/2014/main" id="{38A61A6E-4C6A-036E-47F3-90217B768078}"/>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𝑉𝑒𝑑</a:t>
              </a:r>
              <a:endParaRPr lang="fr-FR" sz="1100"/>
            </a:p>
          </xdr:txBody>
        </xdr:sp>
      </mc:Fallback>
    </mc:AlternateContent>
    <xdr:clientData/>
  </xdr:oneCellAnchor>
  <xdr:oneCellAnchor>
    <xdr:from>
      <xdr:col>5</xdr:col>
      <xdr:colOff>0</xdr:colOff>
      <xdr:row>35</xdr:row>
      <xdr:rowOff>0</xdr:rowOff>
    </xdr:from>
    <xdr:ext cx="436210" cy="172227"/>
    <mc:AlternateContent xmlns:mc="http://schemas.openxmlformats.org/markup-compatibility/2006" xmlns:a14="http://schemas.microsoft.com/office/drawing/2010/main">
      <mc:Choice Requires="a14">
        <xdr:sp macro="" textlink="">
          <xdr:nvSpPr>
            <xdr:cNvPr id="16" name="ZoneTexte 15">
              <a:extLst>
                <a:ext uri="{FF2B5EF4-FFF2-40B4-BE49-F238E27FC236}">
                  <a16:creationId xmlns:a16="http://schemas.microsoft.com/office/drawing/2014/main" id="{AA272B63-F21F-4465-ADE1-5AB5F0D5FFB7}"/>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𝑁𝑒𝑑</m:t>
                    </m:r>
                  </m:oMath>
                </m:oMathPara>
              </a14:m>
              <a:endParaRPr lang="fr-FR" sz="1100"/>
            </a:p>
          </xdr:txBody>
        </xdr:sp>
      </mc:Choice>
      <mc:Fallback xmlns="">
        <xdr:sp macro="" textlink="">
          <xdr:nvSpPr>
            <xdr:cNvPr id="16" name="ZoneTexte 15">
              <a:extLst>
                <a:ext uri="{FF2B5EF4-FFF2-40B4-BE49-F238E27FC236}">
                  <a16:creationId xmlns:a16="http://schemas.microsoft.com/office/drawing/2014/main" id="{AA272B63-F21F-4465-ADE1-5AB5F0D5FFB7}"/>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𝑁𝑒𝑑</a:t>
              </a:r>
              <a:endParaRPr lang="fr-FR" sz="1100"/>
            </a:p>
          </xdr:txBody>
        </xdr:sp>
      </mc:Fallback>
    </mc:AlternateContent>
    <xdr:clientData/>
  </xdr:oneCellAnchor>
  <xdr:twoCellAnchor>
    <xdr:from>
      <xdr:col>1</xdr:col>
      <xdr:colOff>209550</xdr:colOff>
      <xdr:row>44</xdr:row>
      <xdr:rowOff>95250</xdr:rowOff>
    </xdr:from>
    <xdr:to>
      <xdr:col>2</xdr:col>
      <xdr:colOff>314325</xdr:colOff>
      <xdr:row>46</xdr:row>
      <xdr:rowOff>66675</xdr:rowOff>
    </xdr:to>
    <xdr:pic>
      <xdr:nvPicPr>
        <xdr:cNvPr id="17" name="Image 16">
          <a:extLst>
            <a:ext uri="{FF2B5EF4-FFF2-40B4-BE49-F238E27FC236}">
              <a16:creationId xmlns:a16="http://schemas.microsoft.com/office/drawing/2014/main" id="{C41A683A-D862-EA06-3AE7-BAEC6D816835}"/>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71550" y="8572500"/>
          <a:ext cx="8667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11</xdr:row>
      <xdr:rowOff>95250</xdr:rowOff>
    </xdr:from>
    <xdr:to>
      <xdr:col>15</xdr:col>
      <xdr:colOff>342900</xdr:colOff>
      <xdr:row>13</xdr:row>
      <xdr:rowOff>47625</xdr:rowOff>
    </xdr:to>
    <xdr:pic>
      <xdr:nvPicPr>
        <xdr:cNvPr id="3" name="Image 2">
          <a:extLst>
            <a:ext uri="{FF2B5EF4-FFF2-40B4-BE49-F238E27FC236}">
              <a16:creationId xmlns:a16="http://schemas.microsoft.com/office/drawing/2014/main" id="{7A911E8A-CD26-228B-BAAB-2571F4BBAEEA}"/>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2209800"/>
          <a:ext cx="26289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29</xdr:row>
      <xdr:rowOff>0</xdr:rowOff>
    </xdr:from>
    <xdr:to>
      <xdr:col>19</xdr:col>
      <xdr:colOff>123825</xdr:colOff>
      <xdr:row>30</xdr:row>
      <xdr:rowOff>19050</xdr:rowOff>
    </xdr:to>
    <xdr:pic>
      <xdr:nvPicPr>
        <xdr:cNvPr id="4" name="Image 3">
          <a:extLst>
            <a:ext uri="{FF2B5EF4-FFF2-40B4-BE49-F238E27FC236}">
              <a16:creationId xmlns:a16="http://schemas.microsoft.com/office/drawing/2014/main" id="{E10B4C08-FE45-432A-A212-EF459536FAEF}"/>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568462"/>
          <a:ext cx="54578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28</xdr:row>
      <xdr:rowOff>0</xdr:rowOff>
    </xdr:from>
    <xdr:to>
      <xdr:col>17</xdr:col>
      <xdr:colOff>438150</xdr:colOff>
      <xdr:row>28</xdr:row>
      <xdr:rowOff>180975</xdr:rowOff>
    </xdr:to>
    <xdr:pic>
      <xdr:nvPicPr>
        <xdr:cNvPr id="6" name="Image 5">
          <a:extLst>
            <a:ext uri="{FF2B5EF4-FFF2-40B4-BE49-F238E27FC236}">
              <a16:creationId xmlns:a16="http://schemas.microsoft.com/office/drawing/2014/main" id="{911847B9-1837-4E40-9048-676C701F8C46}"/>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377962"/>
          <a:ext cx="42481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26</xdr:row>
      <xdr:rowOff>0</xdr:rowOff>
    </xdr:from>
    <xdr:to>
      <xdr:col>15</xdr:col>
      <xdr:colOff>219075</xdr:colOff>
      <xdr:row>27</xdr:row>
      <xdr:rowOff>186104</xdr:rowOff>
    </xdr:to>
    <xdr:pic>
      <xdr:nvPicPr>
        <xdr:cNvPr id="7" name="Image 6">
          <a:extLst>
            <a:ext uri="{FF2B5EF4-FFF2-40B4-BE49-F238E27FC236}">
              <a16:creationId xmlns:a16="http://schemas.microsoft.com/office/drawing/2014/main" id="{16C5FB20-66CC-45A9-9D36-0C473B4AB33D}"/>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4996962"/>
          <a:ext cx="2505075" cy="37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38</xdr:row>
      <xdr:rowOff>0</xdr:rowOff>
    </xdr:from>
    <xdr:to>
      <xdr:col>18</xdr:col>
      <xdr:colOff>295275</xdr:colOff>
      <xdr:row>39</xdr:row>
      <xdr:rowOff>19050</xdr:rowOff>
    </xdr:to>
    <xdr:pic>
      <xdr:nvPicPr>
        <xdr:cNvPr id="8" name="Image 7">
          <a:extLst>
            <a:ext uri="{FF2B5EF4-FFF2-40B4-BE49-F238E27FC236}">
              <a16:creationId xmlns:a16="http://schemas.microsoft.com/office/drawing/2014/main" id="{40565D13-0A3A-4E75-8562-D183320B1EE5}"/>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297615"/>
          <a:ext cx="486727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37</xdr:row>
      <xdr:rowOff>0</xdr:rowOff>
    </xdr:from>
    <xdr:to>
      <xdr:col>18</xdr:col>
      <xdr:colOff>104775</xdr:colOff>
      <xdr:row>37</xdr:row>
      <xdr:rowOff>180975</xdr:rowOff>
    </xdr:to>
    <xdr:pic>
      <xdr:nvPicPr>
        <xdr:cNvPr id="9" name="Image 8">
          <a:extLst>
            <a:ext uri="{FF2B5EF4-FFF2-40B4-BE49-F238E27FC236}">
              <a16:creationId xmlns:a16="http://schemas.microsoft.com/office/drawing/2014/main" id="{66F42E20-ECC1-463C-AFED-F845C9646436}"/>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107115"/>
          <a:ext cx="46767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35</xdr:row>
      <xdr:rowOff>0</xdr:rowOff>
    </xdr:from>
    <xdr:to>
      <xdr:col>15</xdr:col>
      <xdr:colOff>38100</xdr:colOff>
      <xdr:row>36</xdr:row>
      <xdr:rowOff>186103</xdr:rowOff>
    </xdr:to>
    <xdr:pic>
      <xdr:nvPicPr>
        <xdr:cNvPr id="18" name="Image 17">
          <a:extLst>
            <a:ext uri="{FF2B5EF4-FFF2-40B4-BE49-F238E27FC236}">
              <a16:creationId xmlns:a16="http://schemas.microsoft.com/office/drawing/2014/main" id="{E1C8A0C9-092C-4DAE-AC92-0F70DFC885D4}"/>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6726115"/>
          <a:ext cx="2324100" cy="376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14</xdr:col>
      <xdr:colOff>0</xdr:colOff>
      <xdr:row>25</xdr:row>
      <xdr:rowOff>0</xdr:rowOff>
    </xdr:from>
    <xdr:to>
      <xdr:col>16</xdr:col>
      <xdr:colOff>514350</xdr:colOff>
      <xdr:row>25</xdr:row>
      <xdr:rowOff>180975</xdr:rowOff>
    </xdr:to>
    <xdr:pic>
      <xdr:nvPicPr>
        <xdr:cNvPr id="6" name="Image 5">
          <a:extLst>
            <a:ext uri="{FF2B5EF4-FFF2-40B4-BE49-F238E27FC236}">
              <a16:creationId xmlns:a16="http://schemas.microsoft.com/office/drawing/2014/main" id="{19A1B77B-9555-FBE6-B082-A56052248CB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2095500"/>
          <a:ext cx="2038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28</xdr:row>
      <xdr:rowOff>0</xdr:rowOff>
    </xdr:from>
    <xdr:to>
      <xdr:col>17</xdr:col>
      <xdr:colOff>152400</xdr:colOff>
      <xdr:row>28</xdr:row>
      <xdr:rowOff>180975</xdr:rowOff>
    </xdr:to>
    <xdr:pic>
      <xdr:nvPicPr>
        <xdr:cNvPr id="7" name="Image 6">
          <a:extLst>
            <a:ext uri="{FF2B5EF4-FFF2-40B4-BE49-F238E27FC236}">
              <a16:creationId xmlns:a16="http://schemas.microsoft.com/office/drawing/2014/main" id="{ADE304CC-9AFF-D514-7715-A3F9C45F81DB}"/>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7239000"/>
          <a:ext cx="24384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381000</xdr:colOff>
      <xdr:row>10</xdr:row>
      <xdr:rowOff>85725</xdr:rowOff>
    </xdr:from>
    <xdr:to>
      <xdr:col>14</xdr:col>
      <xdr:colOff>723900</xdr:colOff>
      <xdr:row>12</xdr:row>
      <xdr:rowOff>28575</xdr:rowOff>
    </xdr:to>
    <xdr:pic>
      <xdr:nvPicPr>
        <xdr:cNvPr id="4" name="Image 3">
          <a:extLst>
            <a:ext uri="{FF2B5EF4-FFF2-40B4-BE49-F238E27FC236}">
              <a16:creationId xmlns:a16="http://schemas.microsoft.com/office/drawing/2014/main" id="{4D6E45F8-9D6E-9F01-7624-4FA41EFF030C}"/>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763000" y="2009775"/>
          <a:ext cx="2628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29</xdr:row>
      <xdr:rowOff>0</xdr:rowOff>
    </xdr:from>
    <xdr:to>
      <xdr:col>24</xdr:col>
      <xdr:colOff>180975</xdr:colOff>
      <xdr:row>30</xdr:row>
      <xdr:rowOff>142875</xdr:rowOff>
    </xdr:to>
    <xdr:pic>
      <xdr:nvPicPr>
        <xdr:cNvPr id="14" name="Image 13">
          <a:extLst>
            <a:ext uri="{FF2B5EF4-FFF2-40B4-BE49-F238E27FC236}">
              <a16:creationId xmlns:a16="http://schemas.microsoft.com/office/drawing/2014/main" id="{3EEE677A-6909-4375-B304-3101D37CEEEE}"/>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02000" y="4781550"/>
          <a:ext cx="24669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48</xdr:row>
      <xdr:rowOff>0</xdr:rowOff>
    </xdr:from>
    <xdr:to>
      <xdr:col>23</xdr:col>
      <xdr:colOff>600075</xdr:colOff>
      <xdr:row>49</xdr:row>
      <xdr:rowOff>142875</xdr:rowOff>
    </xdr:to>
    <xdr:pic>
      <xdr:nvPicPr>
        <xdr:cNvPr id="16" name="Image 15">
          <a:extLst>
            <a:ext uri="{FF2B5EF4-FFF2-40B4-BE49-F238E27FC236}">
              <a16:creationId xmlns:a16="http://schemas.microsoft.com/office/drawing/2014/main" id="{7AF726BD-29D5-F2F8-44B3-3D143E2ABB15}"/>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8401050"/>
          <a:ext cx="28860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32</xdr:row>
      <xdr:rowOff>104775</xdr:rowOff>
    </xdr:from>
    <xdr:to>
      <xdr:col>14</xdr:col>
      <xdr:colOff>695325</xdr:colOff>
      <xdr:row>34</xdr:row>
      <xdr:rowOff>76200</xdr:rowOff>
    </xdr:to>
    <xdr:pic>
      <xdr:nvPicPr>
        <xdr:cNvPr id="2" name="Image 1">
          <a:extLst>
            <a:ext uri="{FF2B5EF4-FFF2-40B4-BE49-F238E27FC236}">
              <a16:creationId xmlns:a16="http://schemas.microsoft.com/office/drawing/2014/main" id="{C9B382E9-5033-C6BB-479C-4DB69432CDF5}"/>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305550"/>
          <a:ext cx="14573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34</xdr:row>
      <xdr:rowOff>142875</xdr:rowOff>
    </xdr:from>
    <xdr:to>
      <xdr:col>15</xdr:col>
      <xdr:colOff>114300</xdr:colOff>
      <xdr:row>36</xdr:row>
      <xdr:rowOff>104775</xdr:rowOff>
    </xdr:to>
    <xdr:pic>
      <xdr:nvPicPr>
        <xdr:cNvPr id="3" name="Image 2">
          <a:extLst>
            <a:ext uri="{FF2B5EF4-FFF2-40B4-BE49-F238E27FC236}">
              <a16:creationId xmlns:a16="http://schemas.microsoft.com/office/drawing/2014/main" id="{8185A8F5-E4CC-D38B-2041-D1E91CE422CA}"/>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724650"/>
          <a:ext cx="16383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38</xdr:row>
      <xdr:rowOff>104775</xdr:rowOff>
    </xdr:from>
    <xdr:to>
      <xdr:col>14</xdr:col>
      <xdr:colOff>723900</xdr:colOff>
      <xdr:row>40</xdr:row>
      <xdr:rowOff>76200</xdr:rowOff>
    </xdr:to>
    <xdr:pic>
      <xdr:nvPicPr>
        <xdr:cNvPr id="5" name="Image 4">
          <a:extLst>
            <a:ext uri="{FF2B5EF4-FFF2-40B4-BE49-F238E27FC236}">
              <a16:creationId xmlns:a16="http://schemas.microsoft.com/office/drawing/2014/main" id="{8557F7BB-1CA8-DC68-A498-8FD2B8A87B8D}"/>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448550"/>
          <a:ext cx="14859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40</xdr:row>
      <xdr:rowOff>76200</xdr:rowOff>
    </xdr:from>
    <xdr:to>
      <xdr:col>15</xdr:col>
      <xdr:colOff>104775</xdr:colOff>
      <xdr:row>42</xdr:row>
      <xdr:rowOff>28575</xdr:rowOff>
    </xdr:to>
    <xdr:pic>
      <xdr:nvPicPr>
        <xdr:cNvPr id="8" name="Image 7">
          <a:extLst>
            <a:ext uri="{FF2B5EF4-FFF2-40B4-BE49-F238E27FC236}">
              <a16:creationId xmlns:a16="http://schemas.microsoft.com/office/drawing/2014/main" id="{24FCC070-FBC2-94C4-716F-48DC788F3221}"/>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800975"/>
          <a:ext cx="1628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49</xdr:row>
      <xdr:rowOff>0</xdr:rowOff>
    </xdr:from>
    <xdr:to>
      <xdr:col>15</xdr:col>
      <xdr:colOff>238125</xdr:colOff>
      <xdr:row>50</xdr:row>
      <xdr:rowOff>0</xdr:rowOff>
    </xdr:to>
    <xdr:pic>
      <xdr:nvPicPr>
        <xdr:cNvPr id="9" name="Image 8">
          <a:extLst>
            <a:ext uri="{FF2B5EF4-FFF2-40B4-BE49-F238E27FC236}">
              <a16:creationId xmlns:a16="http://schemas.microsoft.com/office/drawing/2014/main" id="{A6AF87EF-8D82-4AAB-F791-DF9E263CEF5D}"/>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9477375"/>
          <a:ext cx="1762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47625</xdr:colOff>
      <xdr:row>44</xdr:row>
      <xdr:rowOff>0</xdr:rowOff>
    </xdr:from>
    <xdr:to>
      <xdr:col>26</xdr:col>
      <xdr:colOff>685800</xdr:colOff>
      <xdr:row>48</xdr:row>
      <xdr:rowOff>0</xdr:rowOff>
    </xdr:to>
    <xdr:pic>
      <xdr:nvPicPr>
        <xdr:cNvPr id="12" name="Image 11">
          <a:extLst>
            <a:ext uri="{FF2B5EF4-FFF2-40B4-BE49-F238E27FC236}">
              <a16:creationId xmlns:a16="http://schemas.microsoft.com/office/drawing/2014/main" id="{95D2F1F8-869B-E85B-8D64-EBA7DF93614C}"/>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25625" y="8515350"/>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47625</xdr:colOff>
      <xdr:row>25</xdr:row>
      <xdr:rowOff>0</xdr:rowOff>
    </xdr:from>
    <xdr:to>
      <xdr:col>26</xdr:col>
      <xdr:colOff>685800</xdr:colOff>
      <xdr:row>29</xdr:row>
      <xdr:rowOff>9525</xdr:rowOff>
    </xdr:to>
    <xdr:pic>
      <xdr:nvPicPr>
        <xdr:cNvPr id="13" name="Image 12">
          <a:extLst>
            <a:ext uri="{FF2B5EF4-FFF2-40B4-BE49-F238E27FC236}">
              <a16:creationId xmlns:a16="http://schemas.microsoft.com/office/drawing/2014/main" id="{D895657E-588A-DF78-85DD-88F4A11E6244}"/>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25625" y="48482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22</xdr:row>
      <xdr:rowOff>0</xdr:rowOff>
    </xdr:from>
    <xdr:to>
      <xdr:col>16</xdr:col>
      <xdr:colOff>514350</xdr:colOff>
      <xdr:row>22</xdr:row>
      <xdr:rowOff>180975</xdr:rowOff>
    </xdr:to>
    <xdr:pic>
      <xdr:nvPicPr>
        <xdr:cNvPr id="2" name="Image 1">
          <a:extLst>
            <a:ext uri="{FF2B5EF4-FFF2-40B4-BE49-F238E27FC236}">
              <a16:creationId xmlns:a16="http://schemas.microsoft.com/office/drawing/2014/main" id="{805906A0-F972-471A-BFCB-F51D15C7A9C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048125"/>
          <a:ext cx="2038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25</xdr:row>
      <xdr:rowOff>0</xdr:rowOff>
    </xdr:from>
    <xdr:to>
      <xdr:col>17</xdr:col>
      <xdr:colOff>152400</xdr:colOff>
      <xdr:row>25</xdr:row>
      <xdr:rowOff>180975</xdr:rowOff>
    </xdr:to>
    <xdr:pic>
      <xdr:nvPicPr>
        <xdr:cNvPr id="3" name="Image 2">
          <a:extLst>
            <a:ext uri="{FF2B5EF4-FFF2-40B4-BE49-F238E27FC236}">
              <a16:creationId xmlns:a16="http://schemas.microsoft.com/office/drawing/2014/main" id="{E5C6E87A-0CBE-4637-B70A-D8F31736D245}"/>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619625"/>
          <a:ext cx="24384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390525</xdr:colOff>
      <xdr:row>9</xdr:row>
      <xdr:rowOff>104775</xdr:rowOff>
    </xdr:from>
    <xdr:to>
      <xdr:col>14</xdr:col>
      <xdr:colOff>733425</xdr:colOff>
      <xdr:row>11</xdr:row>
      <xdr:rowOff>57150</xdr:rowOff>
    </xdr:to>
    <xdr:pic>
      <xdr:nvPicPr>
        <xdr:cNvPr id="4" name="Image 3">
          <a:extLst>
            <a:ext uri="{FF2B5EF4-FFF2-40B4-BE49-F238E27FC236}">
              <a16:creationId xmlns:a16="http://schemas.microsoft.com/office/drawing/2014/main" id="{2D5A9674-84AE-4EE4-9524-3E5D6C3BCF31}"/>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772525" y="1838325"/>
          <a:ext cx="26289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26</xdr:row>
      <xdr:rowOff>0</xdr:rowOff>
    </xdr:from>
    <xdr:to>
      <xdr:col>24</xdr:col>
      <xdr:colOff>180975</xdr:colOff>
      <xdr:row>27</xdr:row>
      <xdr:rowOff>142875</xdr:rowOff>
    </xdr:to>
    <xdr:pic>
      <xdr:nvPicPr>
        <xdr:cNvPr id="6" name="Image 5">
          <a:extLst>
            <a:ext uri="{FF2B5EF4-FFF2-40B4-BE49-F238E27FC236}">
              <a16:creationId xmlns:a16="http://schemas.microsoft.com/office/drawing/2014/main" id="{641F7869-D2B8-4C8F-84DA-70AEB3999D21}"/>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02000" y="4810125"/>
          <a:ext cx="24669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45</xdr:row>
      <xdr:rowOff>0</xdr:rowOff>
    </xdr:from>
    <xdr:to>
      <xdr:col>23</xdr:col>
      <xdr:colOff>600075</xdr:colOff>
      <xdr:row>46</xdr:row>
      <xdr:rowOff>142875</xdr:rowOff>
    </xdr:to>
    <xdr:pic>
      <xdr:nvPicPr>
        <xdr:cNvPr id="8" name="Image 7">
          <a:extLst>
            <a:ext uri="{FF2B5EF4-FFF2-40B4-BE49-F238E27FC236}">
              <a16:creationId xmlns:a16="http://schemas.microsoft.com/office/drawing/2014/main" id="{5336F2FC-36E2-4D9B-BAAC-D92ACEF17AB8}"/>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8486775"/>
          <a:ext cx="28860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29</xdr:row>
      <xdr:rowOff>38100</xdr:rowOff>
    </xdr:from>
    <xdr:to>
      <xdr:col>14</xdr:col>
      <xdr:colOff>695325</xdr:colOff>
      <xdr:row>31</xdr:row>
      <xdr:rowOff>9525</xdr:rowOff>
    </xdr:to>
    <xdr:pic>
      <xdr:nvPicPr>
        <xdr:cNvPr id="9" name="Image 8">
          <a:extLst>
            <a:ext uri="{FF2B5EF4-FFF2-40B4-BE49-F238E27FC236}">
              <a16:creationId xmlns:a16="http://schemas.microsoft.com/office/drawing/2014/main" id="{774297C8-3F93-40EE-B0A0-53E5B636BAAA}"/>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5629275"/>
          <a:ext cx="14573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31</xdr:row>
      <xdr:rowOff>38100</xdr:rowOff>
    </xdr:from>
    <xdr:to>
      <xdr:col>15</xdr:col>
      <xdr:colOff>114300</xdr:colOff>
      <xdr:row>33</xdr:row>
      <xdr:rowOff>0</xdr:rowOff>
    </xdr:to>
    <xdr:pic>
      <xdr:nvPicPr>
        <xdr:cNvPr id="10" name="Image 9">
          <a:extLst>
            <a:ext uri="{FF2B5EF4-FFF2-40B4-BE49-F238E27FC236}">
              <a16:creationId xmlns:a16="http://schemas.microsoft.com/office/drawing/2014/main" id="{A15FA73F-371F-46DE-B6EE-57A94C916D0D}"/>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010275"/>
          <a:ext cx="16383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35</xdr:row>
      <xdr:rowOff>0</xdr:rowOff>
    </xdr:from>
    <xdr:to>
      <xdr:col>14</xdr:col>
      <xdr:colOff>723900</xdr:colOff>
      <xdr:row>36</xdr:row>
      <xdr:rowOff>161925</xdr:rowOff>
    </xdr:to>
    <xdr:pic>
      <xdr:nvPicPr>
        <xdr:cNvPr id="11" name="Image 10">
          <a:extLst>
            <a:ext uri="{FF2B5EF4-FFF2-40B4-BE49-F238E27FC236}">
              <a16:creationId xmlns:a16="http://schemas.microsoft.com/office/drawing/2014/main" id="{87C17E15-2D85-4FEE-8D9F-439FB8E52156}"/>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734175"/>
          <a:ext cx="14859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36</xdr:row>
      <xdr:rowOff>161925</xdr:rowOff>
    </xdr:from>
    <xdr:to>
      <xdr:col>15</xdr:col>
      <xdr:colOff>104775</xdr:colOff>
      <xdr:row>38</xdr:row>
      <xdr:rowOff>114300</xdr:rowOff>
    </xdr:to>
    <xdr:pic>
      <xdr:nvPicPr>
        <xdr:cNvPr id="12" name="Image 11">
          <a:extLst>
            <a:ext uri="{FF2B5EF4-FFF2-40B4-BE49-F238E27FC236}">
              <a16:creationId xmlns:a16="http://schemas.microsoft.com/office/drawing/2014/main" id="{CC346E32-2C00-4E43-8D7A-E53FFCAF0F85}"/>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086600"/>
          <a:ext cx="1628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66675</xdr:colOff>
      <xdr:row>22</xdr:row>
      <xdr:rowOff>0</xdr:rowOff>
    </xdr:from>
    <xdr:to>
      <xdr:col>26</xdr:col>
      <xdr:colOff>704850</xdr:colOff>
      <xdr:row>26</xdr:row>
      <xdr:rowOff>9525</xdr:rowOff>
    </xdr:to>
    <xdr:pic>
      <xdr:nvPicPr>
        <xdr:cNvPr id="13" name="Image 12">
          <a:extLst>
            <a:ext uri="{FF2B5EF4-FFF2-40B4-BE49-F238E27FC236}">
              <a16:creationId xmlns:a16="http://schemas.microsoft.com/office/drawing/2014/main" id="{0DDDD7C7-A28C-408B-9908-BB801053AAF7}"/>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44675" y="42386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66675</xdr:colOff>
      <xdr:row>41</xdr:row>
      <xdr:rowOff>0</xdr:rowOff>
    </xdr:from>
    <xdr:to>
      <xdr:col>26</xdr:col>
      <xdr:colOff>704850</xdr:colOff>
      <xdr:row>44</xdr:row>
      <xdr:rowOff>180975</xdr:rowOff>
    </xdr:to>
    <xdr:pic>
      <xdr:nvPicPr>
        <xdr:cNvPr id="14" name="Image 13">
          <a:extLst>
            <a:ext uri="{FF2B5EF4-FFF2-40B4-BE49-F238E27FC236}">
              <a16:creationId xmlns:a16="http://schemas.microsoft.com/office/drawing/2014/main" id="{09F7E0EB-E168-466B-9DA0-F44350975C9A}"/>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44675" y="78962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6</xdr:col>
      <xdr:colOff>98393</xdr:colOff>
      <xdr:row>26</xdr:row>
      <xdr:rowOff>32226</xdr:rowOff>
    </xdr:from>
    <xdr:ext cx="0" cy="0"/>
    <mc:AlternateContent xmlns:mc="http://schemas.openxmlformats.org/markup-compatibility/2006" xmlns:a14="http://schemas.microsoft.com/office/drawing/2010/main">
      <mc:Choice Requires="a14">
        <xdr:sp macro="" textlink="">
          <xdr:nvSpPr>
            <xdr:cNvPr id="2" name="ZoneTexte 1">
              <a:extLst>
                <a:ext uri="{FF2B5EF4-FFF2-40B4-BE49-F238E27FC236}">
                  <a16:creationId xmlns:a16="http://schemas.microsoft.com/office/drawing/2014/main" id="{E3524776-E230-4D3A-A9FE-985753A119FF}"/>
                </a:ext>
              </a:extLst>
            </xdr:cNvPr>
            <xdr:cNvSpPr txBox="1"/>
          </xdr:nvSpPr>
          <xdr:spPr>
            <a:xfrm>
              <a:off x="4670393" y="5070951"/>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&lt;</m:t>
                    </m:r>
                    <m:f>
                      <m:fPr>
                        <m:type m:val="lin"/>
                        <m:ctrlPr>
                          <a:rPr lang="fr-FR" sz="1100" b="0" i="1">
                            <a:latin typeface="Cambria Math" panose="02040503050406030204" pitchFamily="18" charset="0"/>
                          </a:rPr>
                        </m:ctrlPr>
                      </m:fPr>
                      <m:num>
                        <m:sSub>
                          <m:sSubPr>
                            <m:ctrlPr>
                              <a:rPr lang="fr-FR" sz="1100" b="0" i="1">
                                <a:solidFill>
                                  <a:schemeClr val="tx1"/>
                                </a:solidFill>
                                <a:effectLst/>
                                <a:latin typeface="Cambria Math" panose="02040503050406030204" pitchFamily="18" charset="0"/>
                                <a:ea typeface="+mn-ea"/>
                                <a:cs typeface="+mn-cs"/>
                              </a:rPr>
                            </m:ctrlPr>
                          </m:sSubPr>
                          <m:e>
                            <m:r>
                              <a:rPr lang="fr-FR" sz="1100" b="0" i="1">
                                <a:solidFill>
                                  <a:schemeClr val="tx1"/>
                                </a:solidFill>
                                <a:effectLst/>
                                <a:latin typeface="Cambria Math" panose="02040503050406030204" pitchFamily="18" charset="0"/>
                                <a:ea typeface="+mn-ea"/>
                                <a:cs typeface="+mn-cs"/>
                              </a:rPr>
                              <m:t>𝑓</m:t>
                            </m:r>
                          </m:e>
                          <m:sub>
                            <m:r>
                              <a:rPr lang="fr-FR" sz="1100" b="0" i="1">
                                <a:solidFill>
                                  <a:schemeClr val="tx1"/>
                                </a:solidFill>
                                <a:effectLst/>
                                <a:latin typeface="Cambria Math" panose="02040503050406030204" pitchFamily="18" charset="0"/>
                                <a:ea typeface="+mn-ea"/>
                                <a:cs typeface="+mn-cs"/>
                              </a:rPr>
                              <m:t>𝑦</m:t>
                            </m:r>
                          </m:sub>
                        </m:sSub>
                      </m:num>
                      <m:den/>
                    </m:f>
                    <m:f>
                      <m:fPr>
                        <m:type m:val="lin"/>
                        <m:ctrlPr>
                          <a:rPr lang="fr-FR" sz="1100" b="0" i="1">
                            <a:latin typeface="Cambria Math" panose="02040503050406030204" pitchFamily="18" charset="0"/>
                          </a:rPr>
                        </m:ctrlPr>
                      </m:fPr>
                      <m:num/>
                      <m:den>
                        <m:sSub>
                          <m:sSubPr>
                            <m:ctrlPr>
                              <a:rPr lang="fr-FR" sz="1100" b="0" i="1">
                                <a:latin typeface="Cambria Math" panose="02040503050406030204" pitchFamily="18" charset="0"/>
                              </a:rPr>
                            </m:ctrlPr>
                          </m:sSubPr>
                          <m:e>
                            <m:r>
                              <a:rPr lang="fr-FR" sz="1100" b="0" i="1">
                                <a:latin typeface="Cambria Math" panose="02040503050406030204" pitchFamily="18" charset="0"/>
                              </a:rPr>
                              <m:t>𝑚</m:t>
                            </m:r>
                            <m:r>
                              <a:rPr lang="fr-FR" sz="1100" b="0" i="1">
                                <a:latin typeface="Cambria Math" panose="02040503050406030204" pitchFamily="18" charset="0"/>
                              </a:rPr>
                              <m:t>0</m:t>
                            </m:r>
                          </m:e>
                          <m:sub/>
                        </m:sSub>
                      </m:den>
                    </m:f>
                  </m:oMath>
                </m:oMathPara>
              </a14:m>
              <a:endParaRPr lang="fr-FR" sz="1100"/>
            </a:p>
          </xdr:txBody>
        </xdr:sp>
      </mc:Choice>
      <mc:Fallback xmlns="">
        <xdr:sp macro="" textlink="">
          <xdr:nvSpPr>
            <xdr:cNvPr id="2" name="ZoneTexte 1">
              <a:extLst>
                <a:ext uri="{FF2B5EF4-FFF2-40B4-BE49-F238E27FC236}">
                  <a16:creationId xmlns:a16="http://schemas.microsoft.com/office/drawing/2014/main" id="{E3524776-E230-4D3A-A9FE-985753A119FF}"/>
                </a:ext>
              </a:extLst>
            </xdr:cNvPr>
            <xdr:cNvSpPr txBox="1"/>
          </xdr:nvSpPr>
          <xdr:spPr>
            <a:xfrm>
              <a:off x="4670393" y="5070951"/>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b="0" i="0">
                  <a:latin typeface="Cambria Math" panose="02040503050406030204" pitchFamily="18" charset="0"/>
                </a:rPr>
                <a:t>&lt;</a:t>
              </a:r>
              <a:r>
                <a:rPr lang="fr-FR" sz="1100" b="0" i="0">
                  <a:solidFill>
                    <a:schemeClr val="tx1"/>
                  </a:solidFill>
                  <a:effectLst/>
                  <a:latin typeface="Cambria Math" panose="02040503050406030204" pitchFamily="18" charset="0"/>
                  <a:ea typeface="+mn-ea"/>
                  <a:cs typeface="+mn-cs"/>
                </a:rPr>
                <a:t>𝑓_𝑦∕ </a:t>
              </a:r>
              <a:r>
                <a:rPr lang="fr-FR" sz="1100" b="0" i="0">
                  <a:latin typeface="Cambria Math" panose="02040503050406030204" pitchFamily="18" charset="0"/>
                </a:rPr>
                <a:t> ∕〖𝑚0〗_ </a:t>
              </a:r>
              <a:endParaRPr lang="fr-FR" sz="1100"/>
            </a:p>
          </xdr:txBody>
        </xdr:sp>
      </mc:Fallback>
    </mc:AlternateContent>
    <xdr:clientData/>
  </xdr:oneCellAnchor>
  <xdr:oneCellAnchor>
    <xdr:from>
      <xdr:col>5</xdr:col>
      <xdr:colOff>57150</xdr:colOff>
      <xdr:row>31</xdr:row>
      <xdr:rowOff>4762</xdr:rowOff>
    </xdr:from>
    <xdr:ext cx="609526" cy="182935"/>
    <mc:AlternateContent xmlns:mc="http://schemas.openxmlformats.org/markup-compatibility/2006" xmlns:a14="http://schemas.microsoft.com/office/drawing/2010/main">
      <mc:Choice Requires="a14">
        <xdr:sp macro="" textlink="">
          <xdr:nvSpPr>
            <xdr:cNvPr id="3" name="ZoneTexte 2">
              <a:extLst>
                <a:ext uri="{FF2B5EF4-FFF2-40B4-BE49-F238E27FC236}">
                  <a16:creationId xmlns:a16="http://schemas.microsoft.com/office/drawing/2014/main" id="{81E2229C-DEB4-406A-A972-4EB682493146}"/>
                </a:ext>
              </a:extLst>
            </xdr:cNvPr>
            <xdr:cNvSpPr txBox="1"/>
          </xdr:nvSpPr>
          <xdr:spPr>
            <a:xfrm>
              <a:off x="3867150" y="60150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3" name="ZoneTexte 2">
              <a:extLst>
                <a:ext uri="{FF2B5EF4-FFF2-40B4-BE49-F238E27FC236}">
                  <a16:creationId xmlns:a16="http://schemas.microsoft.com/office/drawing/2014/main" id="{81E2229C-DEB4-406A-A972-4EB682493146}"/>
                </a:ext>
              </a:extLst>
            </xdr:cNvPr>
            <xdr:cNvSpPr txBox="1"/>
          </xdr:nvSpPr>
          <xdr:spPr>
            <a:xfrm>
              <a:off x="3867150" y="60150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57150</xdr:colOff>
      <xdr:row>32</xdr:row>
      <xdr:rowOff>4762</xdr:rowOff>
    </xdr:from>
    <xdr:ext cx="609526" cy="182935"/>
    <mc:AlternateContent xmlns:mc="http://schemas.openxmlformats.org/markup-compatibility/2006" xmlns:a14="http://schemas.microsoft.com/office/drawing/2010/main">
      <mc:Choice Requires="a14">
        <xdr:sp macro="" textlink="">
          <xdr:nvSpPr>
            <xdr:cNvPr id="4" name="ZoneTexte 3">
              <a:extLst>
                <a:ext uri="{FF2B5EF4-FFF2-40B4-BE49-F238E27FC236}">
                  <a16:creationId xmlns:a16="http://schemas.microsoft.com/office/drawing/2014/main" id="{BBF49844-2EDD-4185-AD13-96D7AA4D4FA6}"/>
                </a:ext>
              </a:extLst>
            </xdr:cNvPr>
            <xdr:cNvSpPr txBox="1"/>
          </xdr:nvSpPr>
          <xdr:spPr>
            <a:xfrm>
              <a:off x="3867150" y="62055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4" name="ZoneTexte 3">
              <a:extLst>
                <a:ext uri="{FF2B5EF4-FFF2-40B4-BE49-F238E27FC236}">
                  <a16:creationId xmlns:a16="http://schemas.microsoft.com/office/drawing/2014/main" id="{BBF49844-2EDD-4185-AD13-96D7AA4D4FA6}"/>
                </a:ext>
              </a:extLst>
            </xdr:cNvPr>
            <xdr:cNvSpPr txBox="1"/>
          </xdr:nvSpPr>
          <xdr:spPr>
            <a:xfrm>
              <a:off x="3867150" y="62055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39</xdr:row>
      <xdr:rowOff>0</xdr:rowOff>
    </xdr:from>
    <xdr:ext cx="609526" cy="182935"/>
    <mc:AlternateContent xmlns:mc="http://schemas.openxmlformats.org/markup-compatibility/2006" xmlns:a14="http://schemas.microsoft.com/office/drawing/2010/main">
      <mc:Choice Requires="a14">
        <xdr:sp macro="" textlink="">
          <xdr:nvSpPr>
            <xdr:cNvPr id="5" name="ZoneTexte 4">
              <a:extLst>
                <a:ext uri="{FF2B5EF4-FFF2-40B4-BE49-F238E27FC236}">
                  <a16:creationId xmlns:a16="http://schemas.microsoft.com/office/drawing/2014/main" id="{724C77A8-B3B1-468F-89DD-127D2BE2177B}"/>
                </a:ext>
              </a:extLst>
            </xdr:cNvPr>
            <xdr:cNvSpPr txBox="1"/>
          </xdr:nvSpPr>
          <xdr:spPr>
            <a:xfrm>
              <a:off x="3810000" y="75342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5" name="ZoneTexte 4">
              <a:extLst>
                <a:ext uri="{FF2B5EF4-FFF2-40B4-BE49-F238E27FC236}">
                  <a16:creationId xmlns:a16="http://schemas.microsoft.com/office/drawing/2014/main" id="{724C77A8-B3B1-468F-89DD-127D2BE2177B}"/>
                </a:ext>
              </a:extLst>
            </xdr:cNvPr>
            <xdr:cNvSpPr txBox="1"/>
          </xdr:nvSpPr>
          <xdr:spPr>
            <a:xfrm>
              <a:off x="3810000" y="75342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42</xdr:row>
      <xdr:rowOff>0</xdr:rowOff>
    </xdr:from>
    <xdr:ext cx="609526" cy="182935"/>
    <mc:AlternateContent xmlns:mc="http://schemas.openxmlformats.org/markup-compatibility/2006" xmlns:a14="http://schemas.microsoft.com/office/drawing/2010/main">
      <mc:Choice Requires="a14">
        <xdr:sp macro="" textlink="">
          <xdr:nvSpPr>
            <xdr:cNvPr id="6" name="ZoneTexte 5">
              <a:extLst>
                <a:ext uri="{FF2B5EF4-FFF2-40B4-BE49-F238E27FC236}">
                  <a16:creationId xmlns:a16="http://schemas.microsoft.com/office/drawing/2014/main" id="{B0AAC5A6-9ADF-47F0-8249-A327DE17F190}"/>
                </a:ext>
              </a:extLst>
            </xdr:cNvPr>
            <xdr:cNvSpPr txBox="1"/>
          </xdr:nvSpPr>
          <xdr:spPr>
            <a:xfrm>
              <a:off x="3810000" y="81057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6" name="ZoneTexte 5">
              <a:extLst>
                <a:ext uri="{FF2B5EF4-FFF2-40B4-BE49-F238E27FC236}">
                  <a16:creationId xmlns:a16="http://schemas.microsoft.com/office/drawing/2014/main" id="{B0AAC5A6-9ADF-47F0-8249-A327DE17F190}"/>
                </a:ext>
              </a:extLst>
            </xdr:cNvPr>
            <xdr:cNvSpPr txBox="1"/>
          </xdr:nvSpPr>
          <xdr:spPr>
            <a:xfrm>
              <a:off x="3810000" y="81057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49</xdr:row>
      <xdr:rowOff>4762</xdr:rowOff>
    </xdr:from>
    <xdr:ext cx="938077" cy="206467"/>
    <mc:AlternateContent xmlns:mc="http://schemas.openxmlformats.org/markup-compatibility/2006" xmlns:a14="http://schemas.microsoft.com/office/drawing/2010/main">
      <mc:Choice Requires="a14">
        <xdr:sp macro="" textlink="">
          <xdr:nvSpPr>
            <xdr:cNvPr id="7" name="ZoneTexte 6">
              <a:extLst>
                <a:ext uri="{FF2B5EF4-FFF2-40B4-BE49-F238E27FC236}">
                  <a16:creationId xmlns:a16="http://schemas.microsoft.com/office/drawing/2014/main" id="{5B923E90-35AB-45C1-A58C-6B00D693D7BB}"/>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f>
                      <m:fPr>
                        <m:type m:val="lin"/>
                        <m:ctrlPr>
                          <a:rPr lang="fr-FR" sz="1100" i="1">
                            <a:latin typeface="Cambria Math" panose="02040503050406030204" pitchFamily="18" charset="0"/>
                            <a:ea typeface="Cambria Math" panose="02040503050406030204" pitchFamily="18" charset="0"/>
                          </a:rPr>
                        </m:ctrlPr>
                      </m:fPr>
                      <m:num>
                        <m:sSub>
                          <m:sSubPr>
                            <m:ctrlPr>
                              <a:rPr lang="fr-FR" sz="1100" i="1">
                                <a:latin typeface="Cambria Math" panose="02040503050406030204" pitchFamily="18" charset="0"/>
                                <a:ea typeface="Cambria Math" panose="02040503050406030204" pitchFamily="18" charset="0"/>
                              </a:rPr>
                            </m:ctrlPr>
                          </m:sSubPr>
                          <m:e>
                            <m:r>
                              <a:rPr lang="fr-FR" sz="1100" b="0" i="1">
                                <a:latin typeface="Cambria Math" panose="02040503050406030204" pitchFamily="18" charset="0"/>
                                <a:ea typeface="Cambria Math" panose="02040503050406030204" pitchFamily="18" charset="0"/>
                              </a:rPr>
                              <m:t>𝑓</m:t>
                            </m:r>
                          </m:e>
                          <m:sub>
                            <m:r>
                              <a:rPr lang="fr-FR" sz="1100" b="0" i="1">
                                <a:latin typeface="Cambria Math" panose="02040503050406030204" pitchFamily="18" charset="0"/>
                                <a:ea typeface="Cambria Math" panose="02040503050406030204" pitchFamily="18" charset="0"/>
                              </a:rPr>
                              <m:t>𝑦</m:t>
                            </m:r>
                          </m:sub>
                        </m:sSub>
                      </m:num>
                      <m:den>
                        <m:rad>
                          <m:radPr>
                            <m:degHide m:val="on"/>
                            <m:ctrlPr>
                              <a:rPr lang="fr-FR" sz="1100" i="1">
                                <a:latin typeface="Cambria Math" panose="02040503050406030204" pitchFamily="18" charset="0"/>
                                <a:ea typeface="Cambria Math" panose="02040503050406030204" pitchFamily="18" charset="0"/>
                              </a:rPr>
                            </m:ctrlPr>
                          </m:radPr>
                          <m:deg/>
                          <m:e>
                            <m:r>
                              <a:rPr lang="fr-FR" sz="1100" b="0" i="1">
                                <a:latin typeface="Cambria Math" panose="02040503050406030204" pitchFamily="18" charset="0"/>
                                <a:ea typeface="Cambria Math" panose="02040503050406030204" pitchFamily="18" charset="0"/>
                              </a:rPr>
                              <m:t>3</m:t>
                            </m:r>
                          </m:e>
                        </m:rad>
                        <m:r>
                          <a:rPr lang="fr-FR" sz="1100" i="1">
                            <a:latin typeface="Cambria Math" panose="02040503050406030204" pitchFamily="18" charset="0"/>
                            <a:ea typeface="Cambria Math" panose="02040503050406030204" pitchFamily="18" charset="0"/>
                          </a:rPr>
                          <m:t>×</m:t>
                        </m:r>
                        <m:sSub>
                          <m:sSubPr>
                            <m:ctrlPr>
                              <a:rPr lang="fr-FR" sz="1100" i="1">
                                <a:latin typeface="Cambria Math" panose="02040503050406030204" pitchFamily="18" charset="0"/>
                                <a:ea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ea typeface="Cambria Math" panose="02040503050406030204" pitchFamily="18" charset="0"/>
                              </a:rPr>
                              <m:t>𝑀</m:t>
                            </m:r>
                            <m:r>
                              <a:rPr lang="fr-FR" sz="1100" b="0" i="1">
                                <a:latin typeface="Cambria Math" panose="02040503050406030204" pitchFamily="18" charset="0"/>
                                <a:ea typeface="Cambria Math" panose="02040503050406030204" pitchFamily="18" charset="0"/>
                              </a:rPr>
                              <m:t>0</m:t>
                            </m:r>
                          </m:sub>
                        </m:sSub>
                      </m:den>
                    </m:f>
                  </m:oMath>
                </m:oMathPara>
              </a14:m>
              <a:endParaRPr lang="fr-FR" sz="1100"/>
            </a:p>
          </xdr:txBody>
        </xdr:sp>
      </mc:Choice>
      <mc:Fallback xmlns="">
        <xdr:sp macro="" textlink="">
          <xdr:nvSpPr>
            <xdr:cNvPr id="7" name="ZoneTexte 6">
              <a:extLst>
                <a:ext uri="{FF2B5EF4-FFF2-40B4-BE49-F238E27FC236}">
                  <a16:creationId xmlns:a16="http://schemas.microsoft.com/office/drawing/2014/main" id="{5B923E90-35AB-45C1-A58C-6B00D693D7BB}"/>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𝑓_𝑦∕〖√3</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ea typeface="Cambria Math" panose="02040503050406030204" pitchFamily="18" charset="0"/>
                </a:rPr>
                <a:t>𝑀0 〗</a:t>
              </a:r>
              <a:endParaRPr lang="fr-FR" sz="1100"/>
            </a:p>
          </xdr:txBody>
        </xdr:sp>
      </mc:Fallback>
    </mc:AlternateContent>
    <xdr:clientData/>
  </xdr:oneCellAnchor>
  <xdr:oneCellAnchor>
    <xdr:from>
      <xdr:col>5</xdr:col>
      <xdr:colOff>0</xdr:colOff>
      <xdr:row>55</xdr:row>
      <xdr:rowOff>0</xdr:rowOff>
    </xdr:from>
    <xdr:ext cx="609526" cy="182935"/>
    <mc:AlternateContent xmlns:mc="http://schemas.openxmlformats.org/markup-compatibility/2006" xmlns:a14="http://schemas.microsoft.com/office/drawing/2010/main">
      <mc:Choice Requires="a14">
        <xdr:sp macro="" textlink="">
          <xdr:nvSpPr>
            <xdr:cNvPr id="8" name="ZoneTexte 7">
              <a:extLst>
                <a:ext uri="{FF2B5EF4-FFF2-40B4-BE49-F238E27FC236}">
                  <a16:creationId xmlns:a16="http://schemas.microsoft.com/office/drawing/2014/main" id="{B0ACFF42-00B5-4AE4-AAFD-14E910B3DFA2}"/>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8" name="ZoneTexte 7">
              <a:extLst>
                <a:ext uri="{FF2B5EF4-FFF2-40B4-BE49-F238E27FC236}">
                  <a16:creationId xmlns:a16="http://schemas.microsoft.com/office/drawing/2014/main" id="{B0ACFF42-00B5-4AE4-AAFD-14E910B3DFA2}"/>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twoCellAnchor>
    <xdr:from>
      <xdr:col>21</xdr:col>
      <xdr:colOff>57150</xdr:colOff>
      <xdr:row>3</xdr:row>
      <xdr:rowOff>104775</xdr:rowOff>
    </xdr:from>
    <xdr:to>
      <xdr:col>22</xdr:col>
      <xdr:colOff>485775</xdr:colOff>
      <xdr:row>5</xdr:row>
      <xdr:rowOff>57150</xdr:rowOff>
    </xdr:to>
    <xdr:pic>
      <xdr:nvPicPr>
        <xdr:cNvPr id="9" name="Image 8">
          <a:extLst>
            <a:ext uri="{FF2B5EF4-FFF2-40B4-BE49-F238E27FC236}">
              <a16:creationId xmlns:a16="http://schemas.microsoft.com/office/drawing/2014/main" id="{165C4B40-588D-40DF-ADBE-90FEF605882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59150" y="685800"/>
          <a:ext cx="11906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85725</xdr:colOff>
      <xdr:row>5</xdr:row>
      <xdr:rowOff>190500</xdr:rowOff>
    </xdr:from>
    <xdr:to>
      <xdr:col>21</xdr:col>
      <xdr:colOff>600075</xdr:colOff>
      <xdr:row>6</xdr:row>
      <xdr:rowOff>171450</xdr:rowOff>
    </xdr:to>
    <xdr:pic>
      <xdr:nvPicPr>
        <xdr:cNvPr id="10" name="Image 9">
          <a:extLst>
            <a:ext uri="{FF2B5EF4-FFF2-40B4-BE49-F238E27FC236}">
              <a16:creationId xmlns:a16="http://schemas.microsoft.com/office/drawing/2014/main" id="{2BD5A504-8ECB-4E66-8226-1B00AEE2EDEF}"/>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87725" y="1171575"/>
          <a:ext cx="514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38100</xdr:colOff>
      <xdr:row>7</xdr:row>
      <xdr:rowOff>123825</xdr:rowOff>
    </xdr:from>
    <xdr:to>
      <xdr:col>22</xdr:col>
      <xdr:colOff>114300</xdr:colOff>
      <xdr:row>9</xdr:row>
      <xdr:rowOff>57150</xdr:rowOff>
    </xdr:to>
    <xdr:pic>
      <xdr:nvPicPr>
        <xdr:cNvPr id="11" name="Image 10">
          <a:extLst>
            <a:ext uri="{FF2B5EF4-FFF2-40B4-BE49-F238E27FC236}">
              <a16:creationId xmlns:a16="http://schemas.microsoft.com/office/drawing/2014/main" id="{121C0083-5FB6-4B4B-A72D-20054854531B}"/>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802100" y="1504950"/>
          <a:ext cx="762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9</xdr:row>
      <xdr:rowOff>161925</xdr:rowOff>
    </xdr:from>
    <xdr:to>
      <xdr:col>24</xdr:col>
      <xdr:colOff>628650</xdr:colOff>
      <xdr:row>11</xdr:row>
      <xdr:rowOff>104775</xdr:rowOff>
    </xdr:to>
    <xdr:pic>
      <xdr:nvPicPr>
        <xdr:cNvPr id="12" name="Image 11">
          <a:extLst>
            <a:ext uri="{FF2B5EF4-FFF2-40B4-BE49-F238E27FC236}">
              <a16:creationId xmlns:a16="http://schemas.microsoft.com/office/drawing/2014/main" id="{FA850CEC-BECF-455F-A00C-678A0A73244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030700" y="1924050"/>
          <a:ext cx="188595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11</xdr:row>
      <xdr:rowOff>142875</xdr:rowOff>
    </xdr:from>
    <xdr:to>
      <xdr:col>22</xdr:col>
      <xdr:colOff>247650</xdr:colOff>
      <xdr:row>13</xdr:row>
      <xdr:rowOff>57150</xdr:rowOff>
    </xdr:to>
    <xdr:pic>
      <xdr:nvPicPr>
        <xdr:cNvPr id="13" name="Image 12">
          <a:extLst>
            <a:ext uri="{FF2B5EF4-FFF2-40B4-BE49-F238E27FC236}">
              <a16:creationId xmlns:a16="http://schemas.microsoft.com/office/drawing/2014/main" id="{A47475A2-BDCA-4A94-89A5-92CECEEA61C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25925" y="2286000"/>
          <a:ext cx="857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13</xdr:row>
      <xdr:rowOff>171450</xdr:rowOff>
    </xdr:from>
    <xdr:to>
      <xdr:col>23</xdr:col>
      <xdr:colOff>447675</xdr:colOff>
      <xdr:row>15</xdr:row>
      <xdr:rowOff>133350</xdr:rowOff>
    </xdr:to>
    <xdr:pic>
      <xdr:nvPicPr>
        <xdr:cNvPr id="14" name="Image 13">
          <a:extLst>
            <a:ext uri="{FF2B5EF4-FFF2-40B4-BE49-F238E27FC236}">
              <a16:creationId xmlns:a16="http://schemas.microsoft.com/office/drawing/2014/main" id="{46B18069-6A4A-4FF5-BCFA-EDB541B07BED}"/>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25925" y="2695575"/>
          <a:ext cx="10477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238125</xdr:colOff>
      <xdr:row>15</xdr:row>
      <xdr:rowOff>171450</xdr:rowOff>
    </xdr:from>
    <xdr:to>
      <xdr:col>23</xdr:col>
      <xdr:colOff>0</xdr:colOff>
      <xdr:row>17</xdr:row>
      <xdr:rowOff>123825</xdr:rowOff>
    </xdr:to>
    <xdr:pic>
      <xdr:nvPicPr>
        <xdr:cNvPr id="15" name="Image 14">
          <a:extLst>
            <a:ext uri="{FF2B5EF4-FFF2-40B4-BE49-F238E27FC236}">
              <a16:creationId xmlns:a16="http://schemas.microsoft.com/office/drawing/2014/main" id="{6836D86E-EAA4-4E53-B504-E859CA7FFBEF}"/>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002125" y="3076575"/>
          <a:ext cx="5238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647700</xdr:colOff>
      <xdr:row>20</xdr:row>
      <xdr:rowOff>123825</xdr:rowOff>
    </xdr:from>
    <xdr:to>
      <xdr:col>27</xdr:col>
      <xdr:colOff>9525</xdr:colOff>
      <xdr:row>22</xdr:row>
      <xdr:rowOff>76200</xdr:rowOff>
    </xdr:to>
    <xdr:pic>
      <xdr:nvPicPr>
        <xdr:cNvPr id="16" name="Image 15">
          <a:extLst>
            <a:ext uri="{FF2B5EF4-FFF2-40B4-BE49-F238E27FC236}">
              <a16:creationId xmlns:a16="http://schemas.microsoft.com/office/drawing/2014/main" id="{7E85D8F6-98EB-44A7-93B0-A2AB6280BDD1}"/>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8173700" y="4010025"/>
          <a:ext cx="24098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238125</xdr:colOff>
      <xdr:row>29</xdr:row>
      <xdr:rowOff>76200</xdr:rowOff>
    </xdr:from>
    <xdr:to>
      <xdr:col>13</xdr:col>
      <xdr:colOff>104775</xdr:colOff>
      <xdr:row>31</xdr:row>
      <xdr:rowOff>57150</xdr:rowOff>
    </xdr:to>
    <xdr:pic>
      <xdr:nvPicPr>
        <xdr:cNvPr id="17" name="Image 16">
          <a:extLst>
            <a:ext uri="{FF2B5EF4-FFF2-40B4-BE49-F238E27FC236}">
              <a16:creationId xmlns:a16="http://schemas.microsoft.com/office/drawing/2014/main" id="{D44AF213-E8F3-4B50-9005-C446BFF4F907}"/>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82125" y="5705475"/>
          <a:ext cx="6286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619125</xdr:colOff>
      <xdr:row>29</xdr:row>
      <xdr:rowOff>95250</xdr:rowOff>
    </xdr:from>
    <xdr:to>
      <xdr:col>15</xdr:col>
      <xdr:colOff>333375</xdr:colOff>
      <xdr:row>31</xdr:row>
      <xdr:rowOff>95250</xdr:rowOff>
    </xdr:to>
    <xdr:pic>
      <xdr:nvPicPr>
        <xdr:cNvPr id="18" name="Image 17">
          <a:extLst>
            <a:ext uri="{FF2B5EF4-FFF2-40B4-BE49-F238E27FC236}">
              <a16:creationId xmlns:a16="http://schemas.microsoft.com/office/drawing/2014/main" id="{128003D2-F504-4E44-9652-08CBAE5C9AAF}"/>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25125" y="5724525"/>
          <a:ext cx="12382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180975</xdr:colOff>
      <xdr:row>17</xdr:row>
      <xdr:rowOff>123825</xdr:rowOff>
    </xdr:from>
    <xdr:to>
      <xdr:col>24</xdr:col>
      <xdr:colOff>381000</xdr:colOff>
      <xdr:row>19</xdr:row>
      <xdr:rowOff>85725</xdr:rowOff>
    </xdr:to>
    <xdr:pic>
      <xdr:nvPicPr>
        <xdr:cNvPr id="20" name="Image 19">
          <a:extLst>
            <a:ext uri="{FF2B5EF4-FFF2-40B4-BE49-F238E27FC236}">
              <a16:creationId xmlns:a16="http://schemas.microsoft.com/office/drawing/2014/main" id="{DB7815C7-3AA7-4DC8-B624-EEB5D32A7589}"/>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44975" y="3409950"/>
          <a:ext cx="1724025"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28575</xdr:colOff>
      <xdr:row>7</xdr:row>
      <xdr:rowOff>0</xdr:rowOff>
    </xdr:from>
    <xdr:to>
      <xdr:col>15</xdr:col>
      <xdr:colOff>409575</xdr:colOff>
      <xdr:row>8</xdr:row>
      <xdr:rowOff>0</xdr:rowOff>
    </xdr:to>
    <xdr:pic>
      <xdr:nvPicPr>
        <xdr:cNvPr id="22" name="Image 21">
          <a:extLst>
            <a:ext uri="{FF2B5EF4-FFF2-40B4-BE49-F238E27FC236}">
              <a16:creationId xmlns:a16="http://schemas.microsoft.com/office/drawing/2014/main" id="{41EB3BFB-2F17-47D2-AD0C-A6E7058460C4}"/>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72575" y="1362075"/>
          <a:ext cx="26670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0</xdr:colOff>
      <xdr:row>48</xdr:row>
      <xdr:rowOff>95250</xdr:rowOff>
    </xdr:from>
    <xdr:to>
      <xdr:col>23</xdr:col>
      <xdr:colOff>295275</xdr:colOff>
      <xdr:row>50</xdr:row>
      <xdr:rowOff>104775</xdr:rowOff>
    </xdr:to>
    <xdr:pic>
      <xdr:nvPicPr>
        <xdr:cNvPr id="23" name="Image 22">
          <a:extLst>
            <a:ext uri="{FF2B5EF4-FFF2-40B4-BE49-F238E27FC236}">
              <a16:creationId xmlns:a16="http://schemas.microsoft.com/office/drawing/2014/main" id="{FB88892E-32C6-4271-0CB0-FCEC07F9F433}"/>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478000" y="9363075"/>
          <a:ext cx="33432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619125</xdr:colOff>
      <xdr:row>31</xdr:row>
      <xdr:rowOff>28575</xdr:rowOff>
    </xdr:from>
    <xdr:to>
      <xdr:col>16</xdr:col>
      <xdr:colOff>438150</xdr:colOff>
      <xdr:row>33</xdr:row>
      <xdr:rowOff>38100</xdr:rowOff>
    </xdr:to>
    <xdr:pic>
      <xdr:nvPicPr>
        <xdr:cNvPr id="24" name="Image 23">
          <a:extLst>
            <a:ext uri="{FF2B5EF4-FFF2-40B4-BE49-F238E27FC236}">
              <a16:creationId xmlns:a16="http://schemas.microsoft.com/office/drawing/2014/main" id="{9DE5ECB9-3C05-E94C-4B29-25C646695B27}"/>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25125" y="6038850"/>
          <a:ext cx="21050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23</xdr:row>
      <xdr:rowOff>0</xdr:rowOff>
    </xdr:from>
    <xdr:to>
      <xdr:col>27</xdr:col>
      <xdr:colOff>638175</xdr:colOff>
      <xdr:row>28</xdr:row>
      <xdr:rowOff>161925</xdr:rowOff>
    </xdr:to>
    <xdr:pic>
      <xdr:nvPicPr>
        <xdr:cNvPr id="19" name="Image 18">
          <a:extLst>
            <a:ext uri="{FF2B5EF4-FFF2-40B4-BE49-F238E27FC236}">
              <a16:creationId xmlns:a16="http://schemas.microsoft.com/office/drawing/2014/main" id="{605ADB6C-AFC0-E8FF-ABAF-866D6982BC5F}"/>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4467225"/>
          <a:ext cx="597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38100</xdr:colOff>
      <xdr:row>25</xdr:row>
      <xdr:rowOff>95250</xdr:rowOff>
    </xdr:from>
    <xdr:to>
      <xdr:col>15</xdr:col>
      <xdr:colOff>257175</xdr:colOff>
      <xdr:row>27</xdr:row>
      <xdr:rowOff>76200</xdr:rowOff>
    </xdr:to>
    <xdr:pic>
      <xdr:nvPicPr>
        <xdr:cNvPr id="3" name="Image 2">
          <a:extLst>
            <a:ext uri="{FF2B5EF4-FFF2-40B4-BE49-F238E27FC236}">
              <a16:creationId xmlns:a16="http://schemas.microsoft.com/office/drawing/2014/main" id="{FDCE4AB1-35A4-4C3C-8FB8-729E5160DA3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82100" y="8181975"/>
          <a:ext cx="250507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34</xdr:row>
      <xdr:rowOff>95250</xdr:rowOff>
    </xdr:from>
    <xdr:to>
      <xdr:col>15</xdr:col>
      <xdr:colOff>38100</xdr:colOff>
      <xdr:row>36</xdr:row>
      <xdr:rowOff>76200</xdr:rowOff>
    </xdr:to>
    <xdr:pic>
      <xdr:nvPicPr>
        <xdr:cNvPr id="8" name="Image 7">
          <a:extLst>
            <a:ext uri="{FF2B5EF4-FFF2-40B4-BE49-F238E27FC236}">
              <a16:creationId xmlns:a16="http://schemas.microsoft.com/office/drawing/2014/main" id="{89831ED5-1EE8-4992-B177-3E666C097F13}"/>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6648450"/>
          <a:ext cx="232410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28575</xdr:colOff>
      <xdr:row>26</xdr:row>
      <xdr:rowOff>14287</xdr:rowOff>
    </xdr:from>
    <xdr:ext cx="421141" cy="172227"/>
    <mc:AlternateContent xmlns:mc="http://schemas.openxmlformats.org/markup-compatibility/2006" xmlns:a14="http://schemas.microsoft.com/office/drawing/2010/main">
      <mc:Choice Requires="a14">
        <xdr:sp macro="" textlink="">
          <xdr:nvSpPr>
            <xdr:cNvPr id="9" name="ZoneTexte 8">
              <a:extLst>
                <a:ext uri="{FF2B5EF4-FFF2-40B4-BE49-F238E27FC236}">
                  <a16:creationId xmlns:a16="http://schemas.microsoft.com/office/drawing/2014/main" id="{F460C210-A3B3-4CB1-8DF9-605091F85EF3}"/>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𝑉𝑒𝑑</m:t>
                    </m:r>
                  </m:oMath>
                </m:oMathPara>
              </a14:m>
              <a:endParaRPr lang="fr-FR" sz="1100"/>
            </a:p>
          </xdr:txBody>
        </xdr:sp>
      </mc:Choice>
      <mc:Fallback xmlns="">
        <xdr:sp macro="" textlink="">
          <xdr:nvSpPr>
            <xdr:cNvPr id="9" name="ZoneTexte 8">
              <a:extLst>
                <a:ext uri="{FF2B5EF4-FFF2-40B4-BE49-F238E27FC236}">
                  <a16:creationId xmlns:a16="http://schemas.microsoft.com/office/drawing/2014/main" id="{F460C210-A3B3-4CB1-8DF9-605091F85EF3}"/>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𝑉𝑒𝑑</a:t>
              </a:r>
              <a:endParaRPr lang="fr-FR" sz="1100"/>
            </a:p>
          </xdr:txBody>
        </xdr:sp>
      </mc:Fallback>
    </mc:AlternateContent>
    <xdr:clientData/>
  </xdr:oneCellAnchor>
  <xdr:oneCellAnchor>
    <xdr:from>
      <xdr:col>5</xdr:col>
      <xdr:colOff>0</xdr:colOff>
      <xdr:row>35</xdr:row>
      <xdr:rowOff>0</xdr:rowOff>
    </xdr:from>
    <xdr:ext cx="436210" cy="172227"/>
    <mc:AlternateContent xmlns:mc="http://schemas.openxmlformats.org/markup-compatibility/2006" xmlns:a14="http://schemas.microsoft.com/office/drawing/2010/main">
      <mc:Choice Requires="a14">
        <xdr:sp macro="" textlink="">
          <xdr:nvSpPr>
            <xdr:cNvPr id="10" name="ZoneTexte 9">
              <a:extLst>
                <a:ext uri="{FF2B5EF4-FFF2-40B4-BE49-F238E27FC236}">
                  <a16:creationId xmlns:a16="http://schemas.microsoft.com/office/drawing/2014/main" id="{A2974047-963E-4EC5-9C8B-6D64F10162DA}"/>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𝑁𝑒𝑑</m:t>
                    </m:r>
                  </m:oMath>
                </m:oMathPara>
              </a14:m>
              <a:endParaRPr lang="fr-FR" sz="1100"/>
            </a:p>
          </xdr:txBody>
        </xdr:sp>
      </mc:Choice>
      <mc:Fallback xmlns="">
        <xdr:sp macro="" textlink="">
          <xdr:nvSpPr>
            <xdr:cNvPr id="10" name="ZoneTexte 9">
              <a:extLst>
                <a:ext uri="{FF2B5EF4-FFF2-40B4-BE49-F238E27FC236}">
                  <a16:creationId xmlns:a16="http://schemas.microsoft.com/office/drawing/2014/main" id="{A2974047-963E-4EC5-9C8B-6D64F10162DA}"/>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𝑁𝑒𝑑</a:t>
              </a:r>
              <a:endParaRPr lang="fr-FR" sz="1100"/>
            </a:p>
          </xdr:txBody>
        </xdr:sp>
      </mc:Fallback>
    </mc:AlternateContent>
    <xdr:clientData/>
  </xdr:oneCellAnchor>
  <xdr:twoCellAnchor>
    <xdr:from>
      <xdr:col>1</xdr:col>
      <xdr:colOff>209550</xdr:colOff>
      <xdr:row>44</xdr:row>
      <xdr:rowOff>95250</xdr:rowOff>
    </xdr:from>
    <xdr:to>
      <xdr:col>2</xdr:col>
      <xdr:colOff>314325</xdr:colOff>
      <xdr:row>46</xdr:row>
      <xdr:rowOff>66675</xdr:rowOff>
    </xdr:to>
    <xdr:pic>
      <xdr:nvPicPr>
        <xdr:cNvPr id="11" name="Image 10">
          <a:extLst>
            <a:ext uri="{FF2B5EF4-FFF2-40B4-BE49-F238E27FC236}">
              <a16:creationId xmlns:a16="http://schemas.microsoft.com/office/drawing/2014/main" id="{632AE205-BE7D-49A3-A2EA-F46783209B7C}"/>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71550" y="8572500"/>
          <a:ext cx="8667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29</xdr:row>
      <xdr:rowOff>0</xdr:rowOff>
    </xdr:from>
    <xdr:to>
      <xdr:col>18</xdr:col>
      <xdr:colOff>428625</xdr:colOff>
      <xdr:row>29</xdr:row>
      <xdr:rowOff>180975</xdr:rowOff>
    </xdr:to>
    <xdr:pic>
      <xdr:nvPicPr>
        <xdr:cNvPr id="15" name="Image 14">
          <a:extLst>
            <a:ext uri="{FF2B5EF4-FFF2-40B4-BE49-F238E27FC236}">
              <a16:creationId xmlns:a16="http://schemas.microsoft.com/office/drawing/2014/main" id="{82ACBCDB-7825-94D5-57E2-EEBE7A720A41}"/>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772150"/>
          <a:ext cx="50006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37</xdr:row>
      <xdr:rowOff>0</xdr:rowOff>
    </xdr:from>
    <xdr:to>
      <xdr:col>18</xdr:col>
      <xdr:colOff>19050</xdr:colOff>
      <xdr:row>37</xdr:row>
      <xdr:rowOff>180975</xdr:rowOff>
    </xdr:to>
    <xdr:pic>
      <xdr:nvPicPr>
        <xdr:cNvPr id="16" name="Image 15">
          <a:extLst>
            <a:ext uri="{FF2B5EF4-FFF2-40B4-BE49-F238E27FC236}">
              <a16:creationId xmlns:a16="http://schemas.microsoft.com/office/drawing/2014/main" id="{96D3D4F9-D043-934B-2210-431D90EA2279}"/>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124700"/>
          <a:ext cx="4591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38</xdr:row>
      <xdr:rowOff>0</xdr:rowOff>
    </xdr:from>
    <xdr:to>
      <xdr:col>18</xdr:col>
      <xdr:colOff>190500</xdr:colOff>
      <xdr:row>39</xdr:row>
      <xdr:rowOff>9525</xdr:rowOff>
    </xdr:to>
    <xdr:pic>
      <xdr:nvPicPr>
        <xdr:cNvPr id="17" name="Image 16">
          <a:extLst>
            <a:ext uri="{FF2B5EF4-FFF2-40B4-BE49-F238E27FC236}">
              <a16:creationId xmlns:a16="http://schemas.microsoft.com/office/drawing/2014/main" id="{64A5869E-9CBF-7E82-80ED-15AF8698E5DB}"/>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315200"/>
          <a:ext cx="4762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7</xdr:row>
      <xdr:rowOff>0</xdr:rowOff>
    </xdr:from>
    <xdr:to>
      <xdr:col>15</xdr:col>
      <xdr:colOff>314325</xdr:colOff>
      <xdr:row>7</xdr:row>
      <xdr:rowOff>180975</xdr:rowOff>
    </xdr:to>
    <xdr:pic>
      <xdr:nvPicPr>
        <xdr:cNvPr id="18" name="Image 17">
          <a:extLst>
            <a:ext uri="{FF2B5EF4-FFF2-40B4-BE49-F238E27FC236}">
              <a16:creationId xmlns:a16="http://schemas.microsoft.com/office/drawing/2014/main" id="{0A6D75C4-8677-7225-D45F-711743425413}"/>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1352550"/>
          <a:ext cx="26003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28</xdr:row>
      <xdr:rowOff>0</xdr:rowOff>
    </xdr:from>
    <xdr:to>
      <xdr:col>17</xdr:col>
      <xdr:colOff>704850</xdr:colOff>
      <xdr:row>29</xdr:row>
      <xdr:rowOff>9525</xdr:rowOff>
    </xdr:to>
    <xdr:pic>
      <xdr:nvPicPr>
        <xdr:cNvPr id="20" name="Image 19">
          <a:extLst>
            <a:ext uri="{FF2B5EF4-FFF2-40B4-BE49-F238E27FC236}">
              <a16:creationId xmlns:a16="http://schemas.microsoft.com/office/drawing/2014/main" id="{40461632-BF5C-464D-982C-47C466A1FB3A}"/>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391150"/>
          <a:ext cx="45148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0</xdr:colOff>
      <xdr:row>21</xdr:row>
      <xdr:rowOff>0</xdr:rowOff>
    </xdr:from>
    <xdr:to>
      <xdr:col>16</xdr:col>
      <xdr:colOff>514350</xdr:colOff>
      <xdr:row>21</xdr:row>
      <xdr:rowOff>180975</xdr:rowOff>
    </xdr:to>
    <xdr:pic>
      <xdr:nvPicPr>
        <xdr:cNvPr id="2" name="Image 1">
          <a:extLst>
            <a:ext uri="{FF2B5EF4-FFF2-40B4-BE49-F238E27FC236}">
              <a16:creationId xmlns:a16="http://schemas.microsoft.com/office/drawing/2014/main" id="{ADB1DC52-0F0F-422F-9323-C0D4B4E0568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048125"/>
          <a:ext cx="2038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24</xdr:row>
      <xdr:rowOff>0</xdr:rowOff>
    </xdr:from>
    <xdr:to>
      <xdr:col>17</xdr:col>
      <xdr:colOff>152400</xdr:colOff>
      <xdr:row>24</xdr:row>
      <xdr:rowOff>180975</xdr:rowOff>
    </xdr:to>
    <xdr:pic>
      <xdr:nvPicPr>
        <xdr:cNvPr id="3" name="Image 2">
          <a:extLst>
            <a:ext uri="{FF2B5EF4-FFF2-40B4-BE49-F238E27FC236}">
              <a16:creationId xmlns:a16="http://schemas.microsoft.com/office/drawing/2014/main" id="{522D0910-19C9-45B7-9A4F-492321DEA5B3}"/>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619625"/>
          <a:ext cx="24384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25</xdr:row>
      <xdr:rowOff>0</xdr:rowOff>
    </xdr:from>
    <xdr:to>
      <xdr:col>24</xdr:col>
      <xdr:colOff>180975</xdr:colOff>
      <xdr:row>26</xdr:row>
      <xdr:rowOff>142875</xdr:rowOff>
    </xdr:to>
    <xdr:pic>
      <xdr:nvPicPr>
        <xdr:cNvPr id="6" name="Image 5">
          <a:extLst>
            <a:ext uri="{FF2B5EF4-FFF2-40B4-BE49-F238E27FC236}">
              <a16:creationId xmlns:a16="http://schemas.microsoft.com/office/drawing/2014/main" id="{4B3A953C-BE68-4E87-AF2C-38A53175B8A8}"/>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02000" y="4810125"/>
          <a:ext cx="24669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44</xdr:row>
      <xdr:rowOff>0</xdr:rowOff>
    </xdr:from>
    <xdr:to>
      <xdr:col>23</xdr:col>
      <xdr:colOff>600075</xdr:colOff>
      <xdr:row>45</xdr:row>
      <xdr:rowOff>142875</xdr:rowOff>
    </xdr:to>
    <xdr:pic>
      <xdr:nvPicPr>
        <xdr:cNvPr id="8" name="Image 7">
          <a:extLst>
            <a:ext uri="{FF2B5EF4-FFF2-40B4-BE49-F238E27FC236}">
              <a16:creationId xmlns:a16="http://schemas.microsoft.com/office/drawing/2014/main" id="{0A7005E6-37E7-4322-81C9-9484AF6324A3}"/>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8486775"/>
          <a:ext cx="28860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28</xdr:row>
      <xdr:rowOff>104775</xdr:rowOff>
    </xdr:from>
    <xdr:to>
      <xdr:col>14</xdr:col>
      <xdr:colOff>695325</xdr:colOff>
      <xdr:row>30</xdr:row>
      <xdr:rowOff>76200</xdr:rowOff>
    </xdr:to>
    <xdr:pic>
      <xdr:nvPicPr>
        <xdr:cNvPr id="4" name="Image 3">
          <a:extLst>
            <a:ext uri="{FF2B5EF4-FFF2-40B4-BE49-F238E27FC236}">
              <a16:creationId xmlns:a16="http://schemas.microsoft.com/office/drawing/2014/main" id="{02E6C24C-6F72-420B-9D7E-9EE63D974691}"/>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305550"/>
          <a:ext cx="14573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30</xdr:row>
      <xdr:rowOff>142875</xdr:rowOff>
    </xdr:from>
    <xdr:to>
      <xdr:col>15</xdr:col>
      <xdr:colOff>114300</xdr:colOff>
      <xdr:row>32</xdr:row>
      <xdr:rowOff>104775</xdr:rowOff>
    </xdr:to>
    <xdr:pic>
      <xdr:nvPicPr>
        <xdr:cNvPr id="9" name="Image 8">
          <a:extLst>
            <a:ext uri="{FF2B5EF4-FFF2-40B4-BE49-F238E27FC236}">
              <a16:creationId xmlns:a16="http://schemas.microsoft.com/office/drawing/2014/main" id="{72921895-3C93-4C29-9967-9F53C316ABAC}"/>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724650"/>
          <a:ext cx="16383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34</xdr:row>
      <xdr:rowOff>104775</xdr:rowOff>
    </xdr:from>
    <xdr:to>
      <xdr:col>14</xdr:col>
      <xdr:colOff>723900</xdr:colOff>
      <xdr:row>36</xdr:row>
      <xdr:rowOff>76200</xdr:rowOff>
    </xdr:to>
    <xdr:pic>
      <xdr:nvPicPr>
        <xdr:cNvPr id="10" name="Image 9">
          <a:extLst>
            <a:ext uri="{FF2B5EF4-FFF2-40B4-BE49-F238E27FC236}">
              <a16:creationId xmlns:a16="http://schemas.microsoft.com/office/drawing/2014/main" id="{C4D8B549-53F6-4DF4-AA2F-A9688044B651}"/>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448550"/>
          <a:ext cx="14859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36</xdr:row>
      <xdr:rowOff>76200</xdr:rowOff>
    </xdr:from>
    <xdr:to>
      <xdr:col>15</xdr:col>
      <xdr:colOff>104775</xdr:colOff>
      <xdr:row>38</xdr:row>
      <xdr:rowOff>28575</xdr:rowOff>
    </xdr:to>
    <xdr:pic>
      <xdr:nvPicPr>
        <xdr:cNvPr id="11" name="Image 10">
          <a:extLst>
            <a:ext uri="{FF2B5EF4-FFF2-40B4-BE49-F238E27FC236}">
              <a16:creationId xmlns:a16="http://schemas.microsoft.com/office/drawing/2014/main" id="{995B5EF8-365D-4D3D-B572-484F3D0A785E}"/>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800975"/>
          <a:ext cx="1628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46</xdr:row>
      <xdr:rowOff>0</xdr:rowOff>
    </xdr:from>
    <xdr:to>
      <xdr:col>15</xdr:col>
      <xdr:colOff>238125</xdr:colOff>
      <xdr:row>47</xdr:row>
      <xdr:rowOff>0</xdr:rowOff>
    </xdr:to>
    <xdr:pic>
      <xdr:nvPicPr>
        <xdr:cNvPr id="13" name="Image 12">
          <a:extLst>
            <a:ext uri="{FF2B5EF4-FFF2-40B4-BE49-F238E27FC236}">
              <a16:creationId xmlns:a16="http://schemas.microsoft.com/office/drawing/2014/main" id="{4E20ABB5-E138-45FD-AFC9-6A657822BA8C}"/>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8867775"/>
          <a:ext cx="1762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57150</xdr:colOff>
      <xdr:row>20</xdr:row>
      <xdr:rowOff>161925</xdr:rowOff>
    </xdr:from>
    <xdr:to>
      <xdr:col>26</xdr:col>
      <xdr:colOff>695325</xdr:colOff>
      <xdr:row>24</xdr:row>
      <xdr:rowOff>171450</xdr:rowOff>
    </xdr:to>
    <xdr:pic>
      <xdr:nvPicPr>
        <xdr:cNvPr id="12" name="Image 11">
          <a:extLst>
            <a:ext uri="{FF2B5EF4-FFF2-40B4-BE49-F238E27FC236}">
              <a16:creationId xmlns:a16="http://schemas.microsoft.com/office/drawing/2014/main" id="{05DF8352-60C5-44D4-84A6-F59FCA63DA76}"/>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35150" y="4019550"/>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66675</xdr:colOff>
      <xdr:row>40</xdr:row>
      <xdr:rowOff>0</xdr:rowOff>
    </xdr:from>
    <xdr:to>
      <xdr:col>26</xdr:col>
      <xdr:colOff>704850</xdr:colOff>
      <xdr:row>43</xdr:row>
      <xdr:rowOff>180975</xdr:rowOff>
    </xdr:to>
    <xdr:pic>
      <xdr:nvPicPr>
        <xdr:cNvPr id="14" name="Image 13">
          <a:extLst>
            <a:ext uri="{FF2B5EF4-FFF2-40B4-BE49-F238E27FC236}">
              <a16:creationId xmlns:a16="http://schemas.microsoft.com/office/drawing/2014/main" id="{F9A784DF-C894-47EF-B98D-8C43B3AE2F75}"/>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44675" y="77057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ctor\AppData\Roaming\Microsoft\AddIns\Base%20de%20donnees%20sections.xlam" TargetMode="External"/><Relationship Id="rId1" Type="http://schemas.openxmlformats.org/officeDocument/2006/relationships/externalLinkPath" Target="file:///C:\Users\victor\AppData\Roaming\Microsoft\AddIns\Base%20de%20donnees%20sections.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victor\AppData\Roaming\Microsoft\AddIns\Fonctions%20EC3.xlam" TargetMode="External"/><Relationship Id="rId1" Type="http://schemas.openxmlformats.org/officeDocument/2006/relationships/externalLinkPath" Target="file:///C:\Users\victor\AppData\Roaming\Microsoft\AddIns\Fonctions%20EC3.xla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victor\AppData\Roaming\Microsoft\AddIns\Fonctions%20EC3-1-8.xlam" TargetMode="External"/><Relationship Id="rId1" Type="http://schemas.openxmlformats.org/officeDocument/2006/relationships/externalLinkPath" Target="file:///C:\Users\victor\AppData\Roaming\Microsoft\AddIns\Fonctions%20EC3-1-8.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 val="Feuil2"/>
      <sheetName val="Feuil3"/>
    </sheetNames>
    <definedNames>
      <definedName name="Beam"/>
    </defined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gammaM"/>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FbRd"/>
      <definedName name="fub"/>
      <definedName name="FvrdBoulon"/>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victor_bourgeois@orange.fr"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EDBE2-7E39-404D-8DA8-EAF4A0713B11}">
  <dimension ref="A1:A12"/>
  <sheetViews>
    <sheetView tabSelected="1" workbookViewId="0">
      <selection activeCell="A3" sqref="A3"/>
    </sheetView>
  </sheetViews>
  <sheetFormatPr baseColWidth="10" defaultRowHeight="15" x14ac:dyDescent="0.25"/>
  <sheetData>
    <row r="1" spans="1:1" x14ac:dyDescent="0.25">
      <c r="A1" t="s">
        <v>231</v>
      </c>
    </row>
    <row r="2" spans="1:1" x14ac:dyDescent="0.25">
      <c r="A2" t="s">
        <v>239</v>
      </c>
    </row>
    <row r="4" spans="1:1" x14ac:dyDescent="0.25">
      <c r="A4" t="s">
        <v>232</v>
      </c>
    </row>
    <row r="5" spans="1:1" x14ac:dyDescent="0.25">
      <c r="A5" t="s">
        <v>233</v>
      </c>
    </row>
    <row r="6" spans="1:1" x14ac:dyDescent="0.25">
      <c r="A6" t="s">
        <v>234</v>
      </c>
    </row>
    <row r="8" spans="1:1" x14ac:dyDescent="0.25">
      <c r="A8" t="s">
        <v>235</v>
      </c>
    </row>
    <row r="10" spans="1:1" x14ac:dyDescent="0.25">
      <c r="A10" t="s">
        <v>236</v>
      </c>
    </row>
    <row r="11" spans="1:1" x14ac:dyDescent="0.25">
      <c r="A11" t="s">
        <v>237</v>
      </c>
    </row>
    <row r="12" spans="1:1" x14ac:dyDescent="0.25">
      <c r="A12" t="s">
        <v>238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36"/>
  <sheetViews>
    <sheetView workbookViewId="0">
      <selection activeCell="B1" sqref="B1:J2"/>
    </sheetView>
  </sheetViews>
  <sheetFormatPr baseColWidth="10" defaultColWidth="9.140625" defaultRowHeight="15" x14ac:dyDescent="0.25"/>
  <cols>
    <col min="1" max="1" width="1.85546875" customWidth="1"/>
    <col min="2" max="2" width="10.5703125" customWidth="1"/>
  </cols>
  <sheetData>
    <row r="1" spans="2:18" x14ac:dyDescent="0.25">
      <c r="B1" s="66" t="s">
        <v>1</v>
      </c>
      <c r="C1" s="67"/>
      <c r="D1" s="67"/>
      <c r="E1" s="67"/>
      <c r="F1" s="67"/>
      <c r="G1" s="67"/>
      <c r="H1" s="67"/>
      <c r="I1" s="67"/>
      <c r="J1" s="68"/>
    </row>
    <row r="2" spans="2:18" ht="15.75" thickBot="1" x14ac:dyDescent="0.3">
      <c r="B2" s="69"/>
      <c r="C2" s="70"/>
      <c r="D2" s="70"/>
      <c r="E2" s="70"/>
      <c r="F2" s="70"/>
      <c r="G2" s="70"/>
      <c r="H2" s="70"/>
      <c r="I2" s="70"/>
      <c r="J2" s="71"/>
    </row>
    <row r="4" spans="2:18" ht="15.75" thickBot="1" x14ac:dyDescent="0.3"/>
    <row r="5" spans="2:18" x14ac:dyDescent="0.25">
      <c r="B5" s="3" t="s">
        <v>2</v>
      </c>
      <c r="C5" s="4" t="s">
        <v>3</v>
      </c>
      <c r="D5" s="4" t="s">
        <v>4</v>
      </c>
      <c r="E5" s="4" t="s">
        <v>5</v>
      </c>
      <c r="F5" s="72" t="s">
        <v>6</v>
      </c>
      <c r="G5" s="73"/>
      <c r="H5" s="73"/>
      <c r="I5" s="73"/>
      <c r="J5" s="74"/>
    </row>
    <row r="6" spans="2:18" x14ac:dyDescent="0.25">
      <c r="B6" s="5">
        <v>45050</v>
      </c>
      <c r="C6" s="6" t="s">
        <v>7</v>
      </c>
      <c r="D6" s="6" t="s">
        <v>8</v>
      </c>
      <c r="E6" s="7" t="s">
        <v>9</v>
      </c>
      <c r="F6" s="75" t="s">
        <v>10</v>
      </c>
      <c r="G6" s="76"/>
      <c r="H6" s="76"/>
      <c r="I6" s="76"/>
      <c r="J6" s="77"/>
    </row>
    <row r="7" spans="2:18" x14ac:dyDescent="0.25">
      <c r="B7" s="8"/>
      <c r="C7" s="6"/>
      <c r="D7" s="6"/>
      <c r="E7" s="6"/>
      <c r="F7" s="60"/>
      <c r="G7" s="61"/>
      <c r="H7" s="61"/>
      <c r="I7" s="61"/>
      <c r="J7" s="62"/>
    </row>
    <row r="8" spans="2:18" x14ac:dyDescent="0.25">
      <c r="B8" s="8"/>
      <c r="C8" s="6"/>
      <c r="D8" s="6"/>
      <c r="E8" s="6"/>
      <c r="F8" s="60"/>
      <c r="G8" s="61"/>
      <c r="H8" s="61"/>
      <c r="I8" s="61"/>
      <c r="J8" s="62"/>
    </row>
    <row r="9" spans="2:18" x14ac:dyDescent="0.25">
      <c r="B9" s="8"/>
      <c r="C9" s="6"/>
      <c r="D9" s="6"/>
      <c r="E9" s="6"/>
      <c r="F9" s="60"/>
      <c r="G9" s="61"/>
      <c r="H9" s="61"/>
      <c r="I9" s="61"/>
      <c r="J9" s="62"/>
    </row>
    <row r="10" spans="2:18" ht="15.75" thickBot="1" x14ac:dyDescent="0.3">
      <c r="B10" s="9"/>
      <c r="C10" s="10"/>
      <c r="D10" s="10"/>
      <c r="E10" s="10"/>
      <c r="F10" s="63"/>
      <c r="G10" s="64"/>
      <c r="H10" s="64"/>
      <c r="I10" s="64"/>
      <c r="J10" s="65"/>
    </row>
    <row r="14" spans="2:18" x14ac:dyDescent="0.25">
      <c r="B14" s="11" t="s">
        <v>11</v>
      </c>
      <c r="C14" s="11"/>
    </row>
    <row r="15" spans="2:18" x14ac:dyDescent="0.25">
      <c r="B15" t="s">
        <v>190</v>
      </c>
      <c r="R15" s="11"/>
    </row>
    <row r="16" spans="2:18" x14ac:dyDescent="0.25">
      <c r="B16" t="s">
        <v>191</v>
      </c>
    </row>
    <row r="17" spans="2:18" x14ac:dyDescent="0.25">
      <c r="B17" t="s">
        <v>229</v>
      </c>
      <c r="H17" s="59" t="s">
        <v>228</v>
      </c>
    </row>
    <row r="18" spans="2:18" x14ac:dyDescent="0.25">
      <c r="B18" t="s">
        <v>192</v>
      </c>
    </row>
    <row r="19" spans="2:18" x14ac:dyDescent="0.25">
      <c r="B19" s="12"/>
    </row>
    <row r="20" spans="2:18" x14ac:dyDescent="0.25">
      <c r="B20" s="12" t="s">
        <v>193</v>
      </c>
      <c r="R20" s="12"/>
    </row>
    <row r="21" spans="2:18" x14ac:dyDescent="0.25">
      <c r="B21" s="12"/>
      <c r="C21" t="s">
        <v>194</v>
      </c>
      <c r="R21" s="12"/>
    </row>
    <row r="22" spans="2:18" x14ac:dyDescent="0.25">
      <c r="B22" s="12" t="s">
        <v>195</v>
      </c>
      <c r="R22" s="12"/>
    </row>
    <row r="23" spans="2:18" x14ac:dyDescent="0.25">
      <c r="B23" s="13"/>
      <c r="C23" t="s">
        <v>196</v>
      </c>
    </row>
    <row r="24" spans="2:18" x14ac:dyDescent="0.25">
      <c r="B24" s="12"/>
      <c r="C24" t="s">
        <v>197</v>
      </c>
      <c r="R24" s="13"/>
    </row>
    <row r="25" spans="2:18" x14ac:dyDescent="0.25">
      <c r="B25" s="12" t="s">
        <v>198</v>
      </c>
      <c r="R25" s="12"/>
    </row>
    <row r="26" spans="2:18" x14ac:dyDescent="0.25">
      <c r="B26" s="12"/>
      <c r="C26" s="11"/>
      <c r="D26" s="11"/>
      <c r="E26" s="11"/>
      <c r="F26" s="11"/>
      <c r="G26" s="11"/>
      <c r="H26" s="11"/>
      <c r="R26" s="12"/>
    </row>
    <row r="27" spans="2:18" x14ac:dyDescent="0.25">
      <c r="B27" s="13" t="s">
        <v>199</v>
      </c>
      <c r="R27" s="12"/>
    </row>
    <row r="28" spans="2:18" x14ac:dyDescent="0.25">
      <c r="B28" s="12" t="s">
        <v>200</v>
      </c>
    </row>
    <row r="29" spans="2:18" x14ac:dyDescent="0.25">
      <c r="C29" t="s">
        <v>201</v>
      </c>
    </row>
    <row r="30" spans="2:18" x14ac:dyDescent="0.25">
      <c r="C30" t="s">
        <v>202</v>
      </c>
    </row>
    <row r="31" spans="2:18" x14ac:dyDescent="0.25">
      <c r="C31" t="s">
        <v>203</v>
      </c>
    </row>
    <row r="32" spans="2:18" x14ac:dyDescent="0.25">
      <c r="C32" t="s">
        <v>204</v>
      </c>
    </row>
    <row r="34" spans="2:3" x14ac:dyDescent="0.25">
      <c r="B34" s="12" t="s">
        <v>205</v>
      </c>
    </row>
    <row r="35" spans="2:3" x14ac:dyDescent="0.25">
      <c r="C35" t="s">
        <v>207</v>
      </c>
    </row>
    <row r="36" spans="2:3" x14ac:dyDescent="0.25">
      <c r="C36" t="s">
        <v>206</v>
      </c>
    </row>
  </sheetData>
  <mergeCells count="7">
    <mergeCell ref="F9:J9"/>
    <mergeCell ref="F10:J10"/>
    <mergeCell ref="B1:J2"/>
    <mergeCell ref="F5:J5"/>
    <mergeCell ref="F6:J6"/>
    <mergeCell ref="F7:J7"/>
    <mergeCell ref="F8:J8"/>
  </mergeCells>
  <hyperlinks>
    <hyperlink ref="E6" r:id="rId1" xr:uid="{E1817EFB-E0AC-48CD-886C-F2957B14F8CF}"/>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B9A06-4627-4DC6-BD8E-2D5930A3770F}">
  <sheetPr codeName="Feuil2">
    <pageSetUpPr fitToPage="1"/>
  </sheetPr>
  <dimension ref="A1:U74"/>
  <sheetViews>
    <sheetView zoomScaleNormal="100" workbookViewId="0">
      <selection activeCell="O47" sqref="O47"/>
    </sheetView>
  </sheetViews>
  <sheetFormatPr baseColWidth="10" defaultRowHeight="15" x14ac:dyDescent="0.25"/>
  <cols>
    <col min="1" max="1" width="2.28515625" customWidth="1"/>
  </cols>
  <sheetData>
    <row r="1" spans="1:21" x14ac:dyDescent="0.25">
      <c r="A1" s="78" t="s">
        <v>19</v>
      </c>
      <c r="B1" s="79"/>
      <c r="C1" s="79"/>
      <c r="D1" s="79"/>
      <c r="E1" s="79"/>
      <c r="F1" s="79"/>
      <c r="G1" s="79"/>
      <c r="H1" s="79"/>
      <c r="I1" s="79"/>
      <c r="J1" s="79"/>
      <c r="K1" s="80"/>
    </row>
    <row r="2" spans="1:21" x14ac:dyDescent="0.25">
      <c r="A2" s="81"/>
      <c r="B2" s="82"/>
      <c r="C2" s="82"/>
      <c r="D2" s="82"/>
      <c r="E2" s="82"/>
      <c r="F2" s="82"/>
      <c r="G2" s="82"/>
      <c r="H2" s="82"/>
      <c r="I2" s="82"/>
      <c r="J2" s="82"/>
      <c r="K2" s="83"/>
      <c r="R2" s="17"/>
    </row>
    <row r="3" spans="1:21" ht="15.75" thickBot="1" x14ac:dyDescent="0.3">
      <c r="A3" s="1"/>
      <c r="B3" s="55" t="s">
        <v>0</v>
      </c>
      <c r="K3" s="2"/>
    </row>
    <row r="4" spans="1:21" ht="15.75" thickBot="1" x14ac:dyDescent="0.3">
      <c r="A4" s="1"/>
      <c r="C4" s="84" t="s">
        <v>149</v>
      </c>
      <c r="D4" s="85"/>
      <c r="E4" s="86"/>
      <c r="K4" s="2"/>
    </row>
    <row r="5" spans="1:21" x14ac:dyDescent="0.25">
      <c r="A5" s="1"/>
      <c r="D5" s="14" t="s">
        <v>27</v>
      </c>
      <c r="E5" s="36">
        <v>2</v>
      </c>
      <c r="I5" s="14" t="s">
        <v>65</v>
      </c>
      <c r="J5" s="15" t="s">
        <v>12</v>
      </c>
      <c r="K5" s="2"/>
    </row>
    <row r="6" spans="1:21" x14ac:dyDescent="0.25">
      <c r="A6" s="1"/>
      <c r="D6" s="14" t="s">
        <v>28</v>
      </c>
      <c r="E6" s="15">
        <v>1</v>
      </c>
      <c r="I6" s="14"/>
      <c r="K6" s="2"/>
    </row>
    <row r="7" spans="1:21" x14ac:dyDescent="0.25">
      <c r="A7" s="1"/>
      <c r="D7" s="14" t="s">
        <v>13</v>
      </c>
      <c r="E7" s="15">
        <v>12</v>
      </c>
      <c r="F7" t="s">
        <v>14</v>
      </c>
      <c r="K7" s="2"/>
    </row>
    <row r="8" spans="1:21" x14ac:dyDescent="0.25">
      <c r="A8" s="1"/>
      <c r="D8" s="14" t="s">
        <v>15</v>
      </c>
      <c r="E8" s="16" t="s">
        <v>16</v>
      </c>
      <c r="K8" s="2"/>
    </row>
    <row r="9" spans="1:21" x14ac:dyDescent="0.25">
      <c r="A9" s="1"/>
      <c r="D9" s="14" t="s">
        <v>17</v>
      </c>
      <c r="E9" s="15">
        <v>14</v>
      </c>
      <c r="F9" t="s">
        <v>14</v>
      </c>
      <c r="K9" s="2"/>
    </row>
    <row r="10" spans="1:21" x14ac:dyDescent="0.25">
      <c r="A10" s="1"/>
      <c r="D10" s="14" t="s">
        <v>179</v>
      </c>
      <c r="E10" s="15">
        <v>0</v>
      </c>
      <c r="F10" t="s">
        <v>14</v>
      </c>
      <c r="K10" s="2"/>
    </row>
    <row r="11" spans="1:21" x14ac:dyDescent="0.25">
      <c r="A11" s="1"/>
      <c r="D11" s="14" t="s">
        <v>180</v>
      </c>
      <c r="E11" s="15">
        <v>0</v>
      </c>
      <c r="F11" t="s">
        <v>14</v>
      </c>
      <c r="K11" s="2"/>
    </row>
    <row r="12" spans="1:21" ht="15.75" thickBot="1" x14ac:dyDescent="0.3">
      <c r="A12" s="1"/>
      <c r="K12" s="2"/>
    </row>
    <row r="13" spans="1:21" x14ac:dyDescent="0.25">
      <c r="A13" s="1"/>
      <c r="D13" s="14" t="s">
        <v>93</v>
      </c>
      <c r="E13" s="15">
        <v>25</v>
      </c>
      <c r="F13" t="s">
        <v>14</v>
      </c>
      <c r="K13" s="2"/>
      <c r="N13" s="56" t="s">
        <v>227</v>
      </c>
      <c r="O13" s="19"/>
      <c r="P13" s="19"/>
      <c r="Q13" s="20"/>
      <c r="R13" s="56" t="s">
        <v>224</v>
      </c>
      <c r="S13" s="19"/>
      <c r="T13" s="19"/>
      <c r="U13" s="20"/>
    </row>
    <row r="14" spans="1:21" x14ac:dyDescent="0.25">
      <c r="A14" s="1"/>
      <c r="D14" s="14" t="s">
        <v>31</v>
      </c>
      <c r="E14" s="15">
        <v>60</v>
      </c>
      <c r="F14" t="s">
        <v>14</v>
      </c>
      <c r="H14" s="14" t="s">
        <v>40</v>
      </c>
      <c r="I14">
        <v>70</v>
      </c>
      <c r="J14" t="s">
        <v>14</v>
      </c>
      <c r="K14" s="2"/>
      <c r="N14" s="24" t="s">
        <v>93</v>
      </c>
      <c r="O14" s="43">
        <f>O15/2</f>
        <v>28.05</v>
      </c>
      <c r="P14" t="s">
        <v>14</v>
      </c>
      <c r="Q14" s="25"/>
      <c r="R14" s="24"/>
      <c r="U14" s="25"/>
    </row>
    <row r="15" spans="1:21" x14ac:dyDescent="0.25">
      <c r="A15" s="1"/>
      <c r="D15" s="14" t="s">
        <v>94</v>
      </c>
      <c r="E15" s="15">
        <v>25</v>
      </c>
      <c r="F15" t="s">
        <v>14</v>
      </c>
      <c r="K15" s="2"/>
      <c r="N15" s="24" t="s">
        <v>31</v>
      </c>
      <c r="O15" s="43">
        <f>P16/E5</f>
        <v>56.1</v>
      </c>
      <c r="P15" t="s">
        <v>14</v>
      </c>
      <c r="Q15" s="25"/>
      <c r="R15" s="24"/>
      <c r="U15" s="25"/>
    </row>
    <row r="16" spans="1:21" ht="15.75" thickBot="1" x14ac:dyDescent="0.3">
      <c r="A16" s="1"/>
      <c r="D16" s="14" t="s">
        <v>95</v>
      </c>
      <c r="E16" s="15">
        <v>30</v>
      </c>
      <c r="F16" t="s">
        <v>14</v>
      </c>
      <c r="K16" s="2"/>
      <c r="N16" s="26"/>
      <c r="O16" s="27" t="s">
        <v>132</v>
      </c>
      <c r="P16" s="58">
        <f>IF(D30="PRS",N30-2*N33,[1]!Beam(D30,"d"))</f>
        <v>112.2</v>
      </c>
      <c r="Q16" s="21" t="s">
        <v>14</v>
      </c>
      <c r="R16" s="57" t="s">
        <v>225</v>
      </c>
      <c r="S16" s="27"/>
      <c r="T16" s="27">
        <f>2*E13+(E5-1)*E14</f>
        <v>110</v>
      </c>
      <c r="U16" s="21" t="s">
        <v>14</v>
      </c>
    </row>
    <row r="17" spans="1:15" x14ac:dyDescent="0.25">
      <c r="A17" s="1"/>
      <c r="K17" s="2"/>
    </row>
    <row r="18" spans="1:15" x14ac:dyDescent="0.25">
      <c r="A18" s="1"/>
      <c r="K18" s="2"/>
    </row>
    <row r="19" spans="1:15" x14ac:dyDescent="0.25">
      <c r="A19" s="1"/>
      <c r="K19" s="2"/>
    </row>
    <row r="20" spans="1:15" x14ac:dyDescent="0.25">
      <c r="A20" s="1"/>
      <c r="K20" s="2"/>
    </row>
    <row r="21" spans="1:15" x14ac:dyDescent="0.25">
      <c r="A21" s="1"/>
      <c r="K21" s="2"/>
    </row>
    <row r="22" spans="1:15" x14ac:dyDescent="0.25">
      <c r="A22" s="1"/>
      <c r="K22" s="2"/>
    </row>
    <row r="23" spans="1:15" x14ac:dyDescent="0.25">
      <c r="A23" s="1"/>
      <c r="K23" s="2"/>
    </row>
    <row r="24" spans="1:15" x14ac:dyDescent="0.25">
      <c r="A24" s="1"/>
      <c r="K24" s="2"/>
    </row>
    <row r="25" spans="1:15" x14ac:dyDescent="0.25">
      <c r="A25" s="1"/>
      <c r="K25" s="2"/>
    </row>
    <row r="26" spans="1:15" x14ac:dyDescent="0.25">
      <c r="A26" s="1"/>
      <c r="K26" s="2"/>
    </row>
    <row r="27" spans="1:15" x14ac:dyDescent="0.25">
      <c r="A27" s="1"/>
      <c r="K27" s="2"/>
    </row>
    <row r="28" spans="1:15" ht="15.75" thickBot="1" x14ac:dyDescent="0.3">
      <c r="A28" s="1"/>
      <c r="K28" s="2"/>
    </row>
    <row r="29" spans="1:15" ht="15.75" thickBot="1" x14ac:dyDescent="0.3">
      <c r="A29" s="1"/>
      <c r="C29" s="84" t="s">
        <v>151</v>
      </c>
      <c r="D29" s="85"/>
      <c r="E29" s="86"/>
      <c r="F29" s="17"/>
      <c r="H29" s="84" t="s">
        <v>150</v>
      </c>
      <c r="I29" s="85"/>
      <c r="J29" s="86"/>
      <c r="K29" s="2"/>
      <c r="M29" s="18" t="s">
        <v>23</v>
      </c>
      <c r="N29" s="19"/>
      <c r="O29" s="20"/>
    </row>
    <row r="30" spans="1:15" x14ac:dyDescent="0.25">
      <c r="A30" s="1"/>
      <c r="C30" s="14" t="s">
        <v>152</v>
      </c>
      <c r="D30" s="39" t="s">
        <v>230</v>
      </c>
      <c r="H30" s="14" t="s">
        <v>153</v>
      </c>
      <c r="I30" s="36">
        <v>8</v>
      </c>
      <c r="J30" t="s">
        <v>14</v>
      </c>
      <c r="K30" s="2"/>
      <c r="M30" s="28" t="s">
        <v>48</v>
      </c>
      <c r="N30" s="16">
        <v>180</v>
      </c>
      <c r="O30" s="25" t="s">
        <v>14</v>
      </c>
    </row>
    <row r="31" spans="1:15" x14ac:dyDescent="0.25">
      <c r="A31" s="1"/>
      <c r="C31" s="14" t="s">
        <v>48</v>
      </c>
      <c r="D31" s="23">
        <f>IF(D30="PRS",N30,[1]!Beam(D30,"h"))</f>
        <v>140</v>
      </c>
      <c r="E31" t="s">
        <v>14</v>
      </c>
      <c r="H31" s="14" t="s">
        <v>147</v>
      </c>
      <c r="I31" s="16">
        <v>235</v>
      </c>
      <c r="J31" t="s">
        <v>50</v>
      </c>
      <c r="K31" s="2"/>
      <c r="M31" s="28" t="s">
        <v>78</v>
      </c>
      <c r="N31" s="16">
        <v>180</v>
      </c>
      <c r="O31" s="25" t="s">
        <v>14</v>
      </c>
    </row>
    <row r="32" spans="1:15" x14ac:dyDescent="0.25">
      <c r="A32" s="1"/>
      <c r="C32" s="14" t="s">
        <v>77</v>
      </c>
      <c r="D32" s="23">
        <f>IF(D30="PRS",N31,[1]!Beam(D30,"b"))</f>
        <v>73</v>
      </c>
      <c r="E32" t="s">
        <v>14</v>
      </c>
      <c r="H32" s="14" t="s">
        <v>148</v>
      </c>
      <c r="I32" s="15">
        <v>360</v>
      </c>
      <c r="J32" t="s">
        <v>50</v>
      </c>
      <c r="K32" s="2"/>
      <c r="M32" s="28" t="s">
        <v>25</v>
      </c>
      <c r="N32" s="16">
        <v>8</v>
      </c>
      <c r="O32" s="25" t="s">
        <v>14</v>
      </c>
    </row>
    <row r="33" spans="1:18" x14ac:dyDescent="0.25">
      <c r="A33" s="1"/>
      <c r="C33" s="14" t="s">
        <v>25</v>
      </c>
      <c r="D33" s="23">
        <f>IF(D30="PRS",N32,[1]!Beam(D30,"tw"))</f>
        <v>4.7</v>
      </c>
      <c r="E33" t="s">
        <v>14</v>
      </c>
      <c r="K33" s="2"/>
      <c r="M33" s="28" t="s">
        <v>79</v>
      </c>
      <c r="N33" s="15">
        <v>10</v>
      </c>
      <c r="O33" s="25" t="s">
        <v>14</v>
      </c>
      <c r="R33" s="14"/>
    </row>
    <row r="34" spans="1:18" x14ac:dyDescent="0.25">
      <c r="A34" s="1"/>
      <c r="C34" s="14" t="s">
        <v>79</v>
      </c>
      <c r="D34" s="23">
        <f>IF(D30="PRS",N33,[1]!Beam(D30,"tf"))</f>
        <v>6.9</v>
      </c>
      <c r="E34" t="s">
        <v>14</v>
      </c>
      <c r="K34" s="2"/>
      <c r="M34" s="28" t="s">
        <v>60</v>
      </c>
      <c r="N34" s="16">
        <v>48.8</v>
      </c>
      <c r="O34" s="25" t="s">
        <v>61</v>
      </c>
      <c r="R34" s="14"/>
    </row>
    <row r="35" spans="1:18" ht="15.75" thickBot="1" x14ac:dyDescent="0.3">
      <c r="A35" s="1"/>
      <c r="C35" s="14" t="s">
        <v>60</v>
      </c>
      <c r="D35" s="23">
        <f>IF(D30="PRS",N34,[1]!Beam(D30,"A")*0.01)</f>
        <v>16.399999999999999</v>
      </c>
      <c r="E35" t="s">
        <v>61</v>
      </c>
      <c r="K35" s="2"/>
      <c r="M35" s="22" t="s">
        <v>41</v>
      </c>
      <c r="N35" s="32">
        <v>2877</v>
      </c>
      <c r="O35" s="21" t="s">
        <v>42</v>
      </c>
      <c r="R35" s="14"/>
    </row>
    <row r="36" spans="1:18" x14ac:dyDescent="0.25">
      <c r="A36" s="1"/>
      <c r="C36" s="14" t="s">
        <v>41</v>
      </c>
      <c r="D36" s="23">
        <f>IF(D30="PRS",N35,[1]!Beam(D30,"Iy")*0.0001)</f>
        <v>541</v>
      </c>
      <c r="E36" t="s">
        <v>42</v>
      </c>
      <c r="K36" s="2"/>
    </row>
    <row r="37" spans="1:18" x14ac:dyDescent="0.25">
      <c r="A37" s="1"/>
      <c r="C37" s="14" t="s">
        <v>49</v>
      </c>
      <c r="D37" s="16">
        <v>275</v>
      </c>
      <c r="E37" t="s">
        <v>50</v>
      </c>
      <c r="K37" s="2"/>
    </row>
    <row r="38" spans="1:18" x14ac:dyDescent="0.25">
      <c r="A38" s="1"/>
      <c r="C38" s="14" t="s">
        <v>66</v>
      </c>
      <c r="D38" s="15">
        <v>430</v>
      </c>
      <c r="E38" t="s">
        <v>50</v>
      </c>
      <c r="K38" s="2"/>
    </row>
    <row r="39" spans="1:18" x14ac:dyDescent="0.25">
      <c r="A39" s="1"/>
      <c r="D39" s="14"/>
      <c r="K39" s="2"/>
    </row>
    <row r="40" spans="1:18" ht="15.75" thickBot="1" x14ac:dyDescent="0.3">
      <c r="A40" s="1"/>
      <c r="K40" s="2"/>
    </row>
    <row r="41" spans="1:18" ht="15.75" thickBot="1" x14ac:dyDescent="0.3">
      <c r="A41" s="1"/>
      <c r="C41" s="84" t="s">
        <v>154</v>
      </c>
      <c r="D41" s="85"/>
      <c r="E41" s="85"/>
      <c r="F41" s="85"/>
      <c r="G41" s="85"/>
      <c r="H41" s="85"/>
      <c r="I41" s="85"/>
      <c r="J41" s="86"/>
      <c r="K41" s="2"/>
    </row>
    <row r="42" spans="1:18" x14ac:dyDescent="0.25">
      <c r="A42" s="1"/>
      <c r="E42" s="14" t="s">
        <v>21</v>
      </c>
      <c r="F42" s="15">
        <v>800</v>
      </c>
      <c r="G42" t="s">
        <v>20</v>
      </c>
      <c r="K42" s="2"/>
    </row>
    <row r="43" spans="1:18" x14ac:dyDescent="0.25">
      <c r="A43" s="1"/>
      <c r="E43" s="14" t="s">
        <v>22</v>
      </c>
      <c r="F43" s="15">
        <v>1200</v>
      </c>
      <c r="G43" t="s">
        <v>20</v>
      </c>
      <c r="K43" s="2"/>
    </row>
    <row r="44" spans="1:18" x14ac:dyDescent="0.25">
      <c r="A44" s="1"/>
      <c r="K44" s="2"/>
    </row>
    <row r="45" spans="1:18" x14ac:dyDescent="0.25">
      <c r="A45" s="1"/>
      <c r="E45" s="14" t="s">
        <v>24</v>
      </c>
      <c r="F45" s="15">
        <v>35</v>
      </c>
      <c r="G45" t="s">
        <v>14</v>
      </c>
      <c r="K45" s="2"/>
    </row>
    <row r="46" spans="1:18" x14ac:dyDescent="0.25">
      <c r="A46" s="1"/>
      <c r="K46" s="2"/>
    </row>
    <row r="47" spans="1:18" x14ac:dyDescent="0.25">
      <c r="A47" s="1"/>
      <c r="E47" s="14" t="s">
        <v>51</v>
      </c>
      <c r="F47" s="23">
        <f>F42*F45*0.001</f>
        <v>28</v>
      </c>
      <c r="G47" t="s">
        <v>26</v>
      </c>
      <c r="K47" s="2"/>
    </row>
    <row r="48" spans="1:18" x14ac:dyDescent="0.25">
      <c r="A48" s="1"/>
      <c r="K48" s="2"/>
    </row>
    <row r="49" spans="1:15" ht="15.75" thickBot="1" x14ac:dyDescent="0.3">
      <c r="A49" s="1"/>
      <c r="K49" s="2"/>
    </row>
    <row r="50" spans="1:15" ht="15.75" thickBot="1" x14ac:dyDescent="0.3">
      <c r="A50" s="1"/>
      <c r="C50" s="84" t="s">
        <v>161</v>
      </c>
      <c r="D50" s="85"/>
      <c r="E50" s="85"/>
      <c r="F50" s="85"/>
      <c r="G50" s="85"/>
      <c r="H50" s="85"/>
      <c r="I50" s="85"/>
      <c r="J50" s="86"/>
      <c r="K50" s="2"/>
    </row>
    <row r="51" spans="1:15" x14ac:dyDescent="0.25">
      <c r="A51" s="1"/>
      <c r="K51" s="2"/>
    </row>
    <row r="52" spans="1:15" x14ac:dyDescent="0.25">
      <c r="A52" s="1"/>
      <c r="K52" s="2"/>
    </row>
    <row r="53" spans="1:15" x14ac:dyDescent="0.25">
      <c r="A53" s="1"/>
      <c r="C53" t="s">
        <v>210</v>
      </c>
      <c r="D53" t="s">
        <v>162</v>
      </c>
      <c r="J53" s="31">
        <f>MAX('FRd1'!J32:J56)</f>
        <v>9.1899526454645566E-2</v>
      </c>
      <c r="K53" s="2" t="b">
        <f t="shared" ref="K53:K59" si="0">IF(J53&lt;1,TRUE,FALSE)</f>
        <v>1</v>
      </c>
      <c r="M53" s="31">
        <f>J53</f>
        <v>9.1899526454645566E-2</v>
      </c>
    </row>
    <row r="54" spans="1:15" x14ac:dyDescent="0.25">
      <c r="A54" s="1"/>
      <c r="C54" t="s">
        <v>211</v>
      </c>
      <c r="D54" t="s">
        <v>88</v>
      </c>
      <c r="J54" s="31">
        <f>MAX('FRd2'!J27:J46)</f>
        <v>0.22737295129773519</v>
      </c>
      <c r="K54" s="2" t="b">
        <f t="shared" si="0"/>
        <v>1</v>
      </c>
      <c r="M54" s="31">
        <f t="shared" ref="M54:M59" si="1">J54</f>
        <v>0.22737295129773519</v>
      </c>
    </row>
    <row r="55" spans="1:15" x14ac:dyDescent="0.25">
      <c r="A55" s="1"/>
      <c r="C55" t="s">
        <v>212</v>
      </c>
      <c r="D55" t="s">
        <v>103</v>
      </c>
      <c r="J55" s="31">
        <f>MAX('FRd3'!J57:J59)</f>
        <v>0.36945406564407057</v>
      </c>
      <c r="K55" s="2" t="b">
        <f t="shared" si="0"/>
        <v>1</v>
      </c>
      <c r="M55" s="31">
        <f t="shared" si="1"/>
        <v>0.36945406564407057</v>
      </c>
    </row>
    <row r="56" spans="1:15" x14ac:dyDescent="0.25">
      <c r="A56" s="1"/>
      <c r="C56" t="s">
        <v>213</v>
      </c>
      <c r="D56" t="s">
        <v>18</v>
      </c>
      <c r="J56" s="31">
        <f>'FRd4'!J46</f>
        <v>0.41402106860988674</v>
      </c>
      <c r="K56" s="2" t="b">
        <f t="shared" si="0"/>
        <v>1</v>
      </c>
      <c r="M56" s="31">
        <f t="shared" si="1"/>
        <v>0.41402106860988674</v>
      </c>
      <c r="O56" s="12"/>
    </row>
    <row r="57" spans="1:15" x14ac:dyDescent="0.25">
      <c r="A57" s="1"/>
      <c r="C57" t="s">
        <v>214</v>
      </c>
      <c r="D57" t="s">
        <v>189</v>
      </c>
      <c r="J57" s="31">
        <f>MAX('FRd5'!J32:J56)</f>
        <v>0.19306160957082422</v>
      </c>
      <c r="K57" s="2" t="b">
        <f t="shared" si="0"/>
        <v>1</v>
      </c>
      <c r="M57" s="31">
        <f t="shared" si="1"/>
        <v>0.19306160957082422</v>
      </c>
    </row>
    <row r="58" spans="1:15" x14ac:dyDescent="0.25">
      <c r="A58" s="1"/>
      <c r="C58" t="s">
        <v>215</v>
      </c>
      <c r="D58" t="s">
        <v>159</v>
      </c>
      <c r="J58" s="31">
        <f>MAX('FRd6'!J27:J46)</f>
        <v>0.16033152730586303</v>
      </c>
      <c r="K58" s="2" t="b">
        <f t="shared" si="0"/>
        <v>1</v>
      </c>
      <c r="M58" s="31">
        <f t="shared" si="1"/>
        <v>0.16033152730586303</v>
      </c>
    </row>
    <row r="59" spans="1:15" x14ac:dyDescent="0.25">
      <c r="A59" s="1"/>
      <c r="C59" t="s">
        <v>216</v>
      </c>
      <c r="D59" t="s">
        <v>160</v>
      </c>
      <c r="J59" s="31">
        <f>MAX('FRd7'!J52:J54)</f>
        <v>0.25720164609053503</v>
      </c>
      <c r="K59" s="2" t="b">
        <f t="shared" si="0"/>
        <v>1</v>
      </c>
      <c r="M59" s="31">
        <f t="shared" si="1"/>
        <v>0.25720164609053503</v>
      </c>
    </row>
    <row r="60" spans="1:15" x14ac:dyDescent="0.25">
      <c r="A60" s="40"/>
      <c r="B60" s="41"/>
      <c r="C60" s="41"/>
      <c r="D60" s="41"/>
      <c r="E60" s="41"/>
      <c r="F60" s="41"/>
      <c r="G60" s="41"/>
      <c r="H60" s="41"/>
      <c r="I60" s="41"/>
      <c r="J60" s="41"/>
      <c r="K60" s="42"/>
    </row>
    <row r="62" spans="1:15" ht="15.75" thickBot="1" x14ac:dyDescent="0.3"/>
    <row r="63" spans="1:15" ht="15.75" thickBot="1" x14ac:dyDescent="0.3">
      <c r="C63" s="84" t="s">
        <v>163</v>
      </c>
      <c r="D63" s="85"/>
      <c r="E63" s="85"/>
      <c r="F63" s="85"/>
      <c r="G63" s="85"/>
      <c r="H63" s="85"/>
      <c r="I63" s="85"/>
      <c r="J63" s="86"/>
    </row>
    <row r="65" spans="3:14" x14ac:dyDescent="0.25">
      <c r="C65" t="s">
        <v>164</v>
      </c>
      <c r="N65" s="37" t="s">
        <v>170</v>
      </c>
    </row>
    <row r="66" spans="3:14" x14ac:dyDescent="0.25">
      <c r="C66" t="s">
        <v>165</v>
      </c>
      <c r="N66" s="38" t="s">
        <v>171</v>
      </c>
    </row>
    <row r="67" spans="3:14" x14ac:dyDescent="0.25">
      <c r="D67" t="s">
        <v>167</v>
      </c>
      <c r="I67" s="14" t="s">
        <v>166</v>
      </c>
      <c r="J67" s="23">
        <f>IF(I31=235,0.46,IF(I31=275,0.48,IF(I31=355,0.58,IF(I31=460,0.74))))*I30</f>
        <v>3.68</v>
      </c>
      <c r="K67" t="s">
        <v>14</v>
      </c>
      <c r="N67" t="s">
        <v>172</v>
      </c>
    </row>
    <row r="68" spans="3:14" x14ac:dyDescent="0.25">
      <c r="D68" t="s">
        <v>168</v>
      </c>
      <c r="J68" t="b">
        <f>IF(1.5*E9&lt;=MIN(E13,E15,E16),TRUE,FALSE)</f>
        <v>1</v>
      </c>
      <c r="N68" t="s">
        <v>173</v>
      </c>
    </row>
    <row r="69" spans="3:14" x14ac:dyDescent="0.25">
      <c r="D69" t="s">
        <v>169</v>
      </c>
      <c r="J69" t="b">
        <f>IF(3*E9&lt;=MIN(E14,IF(E6&lt;=1,E14,I14)),TRUE,FALSE)</f>
        <v>1</v>
      </c>
      <c r="N69" t="s">
        <v>174</v>
      </c>
    </row>
    <row r="70" spans="3:14" x14ac:dyDescent="0.25">
      <c r="D70" t="s">
        <v>226</v>
      </c>
      <c r="J70" t="b">
        <f>IF(E7&gt;=2*MIN(D33+E11,I30),TRUE,FALSE)</f>
        <v>1</v>
      </c>
      <c r="N70" t="s">
        <v>175</v>
      </c>
    </row>
    <row r="71" spans="3:14" x14ac:dyDescent="0.25">
      <c r="N71" t="s">
        <v>176</v>
      </c>
    </row>
    <row r="72" spans="3:14" x14ac:dyDescent="0.25">
      <c r="C72" t="s">
        <v>177</v>
      </c>
    </row>
    <row r="73" spans="3:14" x14ac:dyDescent="0.25">
      <c r="C73" t="s">
        <v>209</v>
      </c>
    </row>
    <row r="74" spans="3:14" x14ac:dyDescent="0.25">
      <c r="D74" t="s">
        <v>178</v>
      </c>
      <c r="J74" t="b">
        <f>IF(J56&lt;MAX(J55,J59),TRUE,FALSE)</f>
        <v>0</v>
      </c>
    </row>
  </sheetData>
  <mergeCells count="7">
    <mergeCell ref="A1:K2"/>
    <mergeCell ref="C4:E4"/>
    <mergeCell ref="C63:J63"/>
    <mergeCell ref="C29:E29"/>
    <mergeCell ref="H29:J29"/>
    <mergeCell ref="C41:J41"/>
    <mergeCell ref="C50:J50"/>
  </mergeCells>
  <conditionalFormatting sqref="H14 J14">
    <cfRule type="expression" dxfId="50" priority="10">
      <formula>NOT($E$6&lt;&gt;1)</formula>
    </cfRule>
  </conditionalFormatting>
  <conditionalFormatting sqref="I14">
    <cfRule type="expression" dxfId="49" priority="8">
      <formula>$E$6=1</formula>
    </cfRule>
    <cfRule type="expression" dxfId="48" priority="9">
      <formula>$E$6&lt;&gt;1</formula>
    </cfRule>
  </conditionalFormatting>
  <conditionalFormatting sqref="N35 N32">
    <cfRule type="expression" dxfId="47" priority="32">
      <formula>$D$30="PRS"</formula>
    </cfRule>
  </conditionalFormatting>
  <conditionalFormatting sqref="N29:O29 M30:O35">
    <cfRule type="expression" dxfId="46" priority="34">
      <formula>$D$30&lt;&gt;"PRS"</formula>
    </cfRule>
  </conditionalFormatting>
  <conditionalFormatting sqref="K53:K59">
    <cfRule type="expression" dxfId="45" priority="6">
      <formula>NOT(K53)</formula>
    </cfRule>
    <cfRule type="expression" dxfId="44" priority="7">
      <formula>K53</formula>
    </cfRule>
  </conditionalFormatting>
  <conditionalFormatting sqref="M53:M59">
    <cfRule type="dataBar" priority="5">
      <dataBar>
        <cfvo type="min"/>
        <cfvo type="max"/>
        <color rgb="FF638EC6"/>
      </dataBar>
      <extLst>
        <ext xmlns:x14="http://schemas.microsoft.com/office/spreadsheetml/2009/9/main" uri="{B025F937-C7B1-47D3-B67F-A62EFF666E3E}">
          <x14:id>{5190E76F-E44A-4B14-9953-01E8BCBE7051}</x14:id>
        </ext>
      </extLst>
    </cfRule>
  </conditionalFormatting>
  <conditionalFormatting sqref="J53:J59">
    <cfRule type="top10" dxfId="43" priority="4" percent="1" rank="1"/>
  </conditionalFormatting>
  <conditionalFormatting sqref="J68:J70 J74">
    <cfRule type="expression" dxfId="42" priority="2">
      <formula>J68</formula>
    </cfRule>
    <cfRule type="expression" dxfId="41" priority="3">
      <formula>NOT(J68)</formula>
    </cfRule>
  </conditionalFormatting>
  <conditionalFormatting sqref="T16">
    <cfRule type="expression" dxfId="40" priority="1">
      <formula>$T$16&gt;$P$16</formula>
    </cfRule>
  </conditionalFormatting>
  <dataValidations count="3">
    <dataValidation allowBlank="1" showInputMessage="1" showErrorMessage="1" promptTitle="Section" sqref="E39" xr:uid="{1778621E-F26F-44C3-AC57-C564C453E17C}"/>
    <dataValidation allowBlank="1" showInputMessage="1" showErrorMessage="1" errorTitle="Format d'entrée non conforme" sqref="D30" xr:uid="{FD5E1797-9EC3-45D1-8528-0EB81C4FAC4C}"/>
    <dataValidation type="list" allowBlank="1" showInputMessage="1" showErrorMessage="1" sqref="J5" xr:uid="{0662EAD9-882B-438C-9F64-7F7A379402B3}">
      <formula1>"NF,EN"</formula1>
    </dataValidation>
  </dataValidations>
  <pageMargins left="1" right="1" top="1" bottom="1" header="0.5" footer="0.5"/>
  <pageSetup paperSize="9" scale="68" orientation="portrait" r:id="rId1"/>
  <colBreaks count="1" manualBreakCount="1">
    <brk id="11" max="1048575" man="1"/>
  </colBreaks>
  <drawing r:id="rId2"/>
  <legacyDrawing r:id="rId3"/>
  <extLst>
    <ext xmlns:x14="http://schemas.microsoft.com/office/spreadsheetml/2009/9/main" uri="{78C0D931-6437-407d-A8EE-F0AAD7539E65}">
      <x14:conditionalFormattings>
        <x14:conditionalFormatting xmlns:xm="http://schemas.microsoft.com/office/excel/2006/main">
          <x14:cfRule type="dataBar" id="{5190E76F-E44A-4B14-9953-01E8BCBE7051}">
            <x14:dataBar minLength="0" maxLength="100" border="1" negativeBarBorderColorSameAsPositive="0">
              <x14:cfvo type="autoMin"/>
              <x14:cfvo type="autoMax"/>
              <x14:borderColor rgb="FF638EC6"/>
              <x14:negativeFillColor rgb="FFFF0000"/>
              <x14:negativeBorderColor rgb="FFFF0000"/>
              <x14:axisColor rgb="FF000000"/>
            </x14:dataBar>
          </x14:cfRule>
          <xm:sqref>M53:M59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D0D8E-44F1-48C5-951E-36D8B91A92B1}">
  <sheetPr codeName="Feuil3"/>
  <dimension ref="A1:AB57"/>
  <sheetViews>
    <sheetView topLeftCell="A9" zoomScaleNormal="100" zoomScaleSheetLayoutView="70" workbookViewId="0">
      <selection activeCell="X34" sqref="X34"/>
    </sheetView>
  </sheetViews>
  <sheetFormatPr baseColWidth="10" defaultRowHeight="15" x14ac:dyDescent="0.25"/>
  <sheetData>
    <row r="1" spans="1:28" x14ac:dyDescent="0.25">
      <c r="A1" s="78" t="s">
        <v>222</v>
      </c>
      <c r="B1" s="79"/>
      <c r="C1" s="79"/>
      <c r="D1" s="79"/>
      <c r="E1" s="79"/>
      <c r="F1" s="79"/>
      <c r="G1" s="79"/>
      <c r="H1" s="79"/>
      <c r="I1" s="79"/>
      <c r="J1" s="79"/>
      <c r="K1" s="80"/>
    </row>
    <row r="2" spans="1:28" x14ac:dyDescent="0.25">
      <c r="A2" s="81"/>
      <c r="B2" s="82"/>
      <c r="C2" s="82"/>
      <c r="D2" s="82"/>
      <c r="E2" s="82"/>
      <c r="F2" s="82"/>
      <c r="G2" s="82"/>
      <c r="H2" s="82"/>
      <c r="I2" s="82"/>
      <c r="J2" s="82"/>
      <c r="K2" s="83"/>
    </row>
    <row r="3" spans="1:28" ht="15.75" thickBot="1" x14ac:dyDescent="0.3">
      <c r="A3" s="1"/>
      <c r="J3" s="14" t="s">
        <v>65</v>
      </c>
      <c r="K3" s="2" t="str">
        <f>Calcul!J5</f>
        <v>NF</v>
      </c>
      <c r="T3" t="s">
        <v>87</v>
      </c>
    </row>
    <row r="4" spans="1:28" ht="15.75" thickBot="1" x14ac:dyDescent="0.3">
      <c r="A4" s="1" t="s">
        <v>29</v>
      </c>
      <c r="K4" s="2"/>
      <c r="T4" s="18"/>
      <c r="U4" s="19"/>
      <c r="V4" s="19"/>
      <c r="W4" s="19"/>
      <c r="X4" s="19"/>
      <c r="Y4" s="19"/>
      <c r="Z4" s="19"/>
      <c r="AA4" s="19"/>
      <c r="AB4" s="20"/>
    </row>
    <row r="5" spans="1:28" ht="15.75" thickBot="1" x14ac:dyDescent="0.3">
      <c r="A5" s="1"/>
      <c r="K5" s="2"/>
      <c r="M5" s="18"/>
      <c r="N5" s="19"/>
      <c r="O5" s="20"/>
      <c r="T5" s="24"/>
      <c r="U5" t="s">
        <v>33</v>
      </c>
      <c r="AB5" s="25"/>
    </row>
    <row r="6" spans="1:28" ht="15.75" thickBot="1" x14ac:dyDescent="0.3">
      <c r="A6" s="1"/>
      <c r="B6" s="84" t="s">
        <v>58</v>
      </c>
      <c r="C6" s="85"/>
      <c r="D6" s="86"/>
      <c r="F6" s="84" t="s">
        <v>59</v>
      </c>
      <c r="G6" s="85"/>
      <c r="H6" s="86"/>
      <c r="K6" s="2"/>
      <c r="M6" s="24" t="s">
        <v>64</v>
      </c>
      <c r="N6">
        <f>G8*G9*C10*0.01</f>
        <v>1.3160000000000001</v>
      </c>
      <c r="O6" s="25" t="s">
        <v>61</v>
      </c>
      <c r="T6" s="24"/>
      <c r="AB6" s="25"/>
    </row>
    <row r="7" spans="1:28" ht="15.75" thickBot="1" x14ac:dyDescent="0.3">
      <c r="A7" s="1"/>
      <c r="K7" s="2"/>
      <c r="M7" s="26"/>
      <c r="N7" s="27"/>
      <c r="O7" s="21"/>
      <c r="T7" s="24"/>
      <c r="U7" t="s">
        <v>34</v>
      </c>
      <c r="AB7" s="25"/>
    </row>
    <row r="8" spans="1:28" x14ac:dyDescent="0.25">
      <c r="A8" s="1"/>
      <c r="B8" s="14" t="s">
        <v>48</v>
      </c>
      <c r="C8">
        <f>Calcul!D31</f>
        <v>140</v>
      </c>
      <c r="D8" t="s">
        <v>14</v>
      </c>
      <c r="F8" s="14" t="s">
        <v>39</v>
      </c>
      <c r="G8" s="14">
        <f>Calcul!E5</f>
        <v>2</v>
      </c>
      <c r="K8" s="2"/>
      <c r="T8" s="24"/>
      <c r="AB8" s="25"/>
    </row>
    <row r="9" spans="1:28" x14ac:dyDescent="0.25">
      <c r="A9" s="1"/>
      <c r="B9" s="14" t="s">
        <v>78</v>
      </c>
      <c r="C9">
        <f>Calcul!D32</f>
        <v>73</v>
      </c>
      <c r="D9" t="s">
        <v>14</v>
      </c>
      <c r="F9" s="14" t="s">
        <v>30</v>
      </c>
      <c r="G9" s="14">
        <f>Calcul!E9</f>
        <v>14</v>
      </c>
      <c r="H9" t="s">
        <v>14</v>
      </c>
      <c r="K9" s="2"/>
      <c r="T9" s="24"/>
      <c r="V9" t="s">
        <v>33</v>
      </c>
      <c r="AB9" s="25"/>
    </row>
    <row r="10" spans="1:28" x14ac:dyDescent="0.25">
      <c r="A10" s="1"/>
      <c r="B10" s="14" t="s">
        <v>25</v>
      </c>
      <c r="C10" s="14">
        <f>Calcul!D33</f>
        <v>4.7</v>
      </c>
      <c r="D10" t="s">
        <v>14</v>
      </c>
      <c r="F10" s="14" t="s">
        <v>31</v>
      </c>
      <c r="G10" s="14">
        <f>Calcul!E14</f>
        <v>60</v>
      </c>
      <c r="H10" t="s">
        <v>14</v>
      </c>
      <c r="K10" s="2"/>
      <c r="T10" s="24"/>
      <c r="AB10" s="25"/>
    </row>
    <row r="11" spans="1:28" x14ac:dyDescent="0.25">
      <c r="A11" s="1"/>
      <c r="B11" s="14" t="s">
        <v>79</v>
      </c>
      <c r="C11">
        <f>Calcul!D34</f>
        <v>6.9</v>
      </c>
      <c r="D11" t="s">
        <v>14</v>
      </c>
      <c r="K11" s="2"/>
      <c r="T11" s="24"/>
      <c r="V11" t="s">
        <v>34</v>
      </c>
      <c r="AB11" s="25"/>
    </row>
    <row r="12" spans="1:28" x14ac:dyDescent="0.25">
      <c r="A12" s="1"/>
      <c r="B12" s="14" t="s">
        <v>60</v>
      </c>
      <c r="C12">
        <f>Calcul!D35</f>
        <v>16.399999999999999</v>
      </c>
      <c r="D12" t="s">
        <v>61</v>
      </c>
      <c r="K12" s="2"/>
      <c r="T12" s="24"/>
      <c r="AB12" s="25"/>
    </row>
    <row r="13" spans="1:28" x14ac:dyDescent="0.25">
      <c r="A13" s="1"/>
      <c r="B13" s="14" t="s">
        <v>62</v>
      </c>
      <c r="C13" s="43">
        <f>C12-N6</f>
        <v>15.083999999999998</v>
      </c>
      <c r="D13" t="s">
        <v>61</v>
      </c>
      <c r="K13" s="2"/>
      <c r="T13" s="24"/>
      <c r="V13" t="s">
        <v>35</v>
      </c>
      <c r="AB13" s="25"/>
    </row>
    <row r="14" spans="1:28" x14ac:dyDescent="0.25">
      <c r="A14" s="1"/>
      <c r="B14" s="14" t="s">
        <v>44</v>
      </c>
      <c r="C14">
        <f>Calcul!D36</f>
        <v>541</v>
      </c>
      <c r="D14" t="s">
        <v>42</v>
      </c>
      <c r="K14" s="2"/>
      <c r="T14" s="24"/>
      <c r="AB14" s="25"/>
    </row>
    <row r="15" spans="1:28" x14ac:dyDescent="0.25">
      <c r="A15" s="1"/>
      <c r="B15" s="14" t="s">
        <v>45</v>
      </c>
      <c r="C15" s="44">
        <f>C14-N19</f>
        <v>528.94105333333334</v>
      </c>
      <c r="D15" t="s">
        <v>42</v>
      </c>
      <c r="K15" s="2"/>
      <c r="T15" s="24"/>
      <c r="V15" t="s">
        <v>36</v>
      </c>
      <c r="AB15" s="25"/>
    </row>
    <row r="16" spans="1:28" x14ac:dyDescent="0.25">
      <c r="A16" s="1"/>
      <c r="B16" s="14" t="s">
        <v>46</v>
      </c>
      <c r="C16" s="44">
        <f>C15*10000/(C8/2)*0.001</f>
        <v>75.56300761904761</v>
      </c>
      <c r="D16" t="s">
        <v>47</v>
      </c>
      <c r="K16" s="2"/>
      <c r="T16" s="24"/>
      <c r="AB16" s="25"/>
    </row>
    <row r="17" spans="1:28" x14ac:dyDescent="0.25">
      <c r="A17" s="1"/>
      <c r="B17" s="14" t="s">
        <v>49</v>
      </c>
      <c r="C17">
        <f>Calcul!D37</f>
        <v>275</v>
      </c>
      <c r="D17" t="s">
        <v>50</v>
      </c>
      <c r="K17" s="2"/>
      <c r="T17" s="24"/>
      <c r="V17" t="s">
        <v>43</v>
      </c>
      <c r="AB17" s="25"/>
    </row>
    <row r="18" spans="1:28" ht="15.75" thickBot="1" x14ac:dyDescent="0.3">
      <c r="A18" s="1"/>
      <c r="B18" s="14" t="s">
        <v>66</v>
      </c>
      <c r="C18">
        <f>Calcul!D38</f>
        <v>430</v>
      </c>
      <c r="D18" t="s">
        <v>50</v>
      </c>
      <c r="K18" s="2"/>
      <c r="T18" s="24"/>
      <c r="AB18" s="25"/>
    </row>
    <row r="19" spans="1:28" ht="15.75" thickBot="1" x14ac:dyDescent="0.3">
      <c r="A19" s="1"/>
      <c r="K19" s="2"/>
      <c r="M19" s="18" t="s">
        <v>63</v>
      </c>
      <c r="N19" s="29">
        <f>(O21+O22)*0.0001</f>
        <v>12.058946666666667</v>
      </c>
      <c r="O19" s="19" t="s">
        <v>42</v>
      </c>
      <c r="P19" s="20"/>
      <c r="T19" s="24"/>
      <c r="V19" t="s">
        <v>38</v>
      </c>
      <c r="AB19" s="25"/>
    </row>
    <row r="20" spans="1:28" ht="15.75" thickBot="1" x14ac:dyDescent="0.3">
      <c r="A20" s="1"/>
      <c r="B20" s="84" t="s">
        <v>52</v>
      </c>
      <c r="C20" s="85"/>
      <c r="D20" s="86"/>
      <c r="K20" s="2"/>
      <c r="M20" s="24"/>
      <c r="N20" s="14" t="s">
        <v>32</v>
      </c>
      <c r="O20" s="14">
        <f>QUOTIENT(G8,2)-1</f>
        <v>0</v>
      </c>
      <c r="P20" s="25"/>
      <c r="T20" s="24"/>
      <c r="AB20" s="25"/>
    </row>
    <row r="21" spans="1:28" x14ac:dyDescent="0.25">
      <c r="A21" s="1"/>
      <c r="K21" s="2"/>
      <c r="M21" s="24"/>
      <c r="N21" s="14" t="s">
        <v>33</v>
      </c>
      <c r="O21">
        <f>G8*C10*G9^3/12</f>
        <v>2149.4666666666667</v>
      </c>
      <c r="P21" s="25"/>
      <c r="T21" s="24"/>
      <c r="AB21" s="25"/>
    </row>
    <row r="22" spans="1:28" x14ac:dyDescent="0.25">
      <c r="A22" s="1"/>
      <c r="B22" t="s">
        <v>54</v>
      </c>
      <c r="C22">
        <f>Calcul!F42</f>
        <v>800</v>
      </c>
      <c r="D22" t="s">
        <v>20</v>
      </c>
      <c r="K22" s="2"/>
      <c r="M22" s="24"/>
      <c r="N22" s="14" t="s">
        <v>34</v>
      </c>
      <c r="O22">
        <f>2*C10*G9*G10^2*SUM(P23:P28)</f>
        <v>118440</v>
      </c>
      <c r="P22" s="25"/>
      <c r="T22" s="24"/>
      <c r="W22" t="s">
        <v>32</v>
      </c>
      <c r="AB22" s="25"/>
    </row>
    <row r="23" spans="1:28" ht="15.75" thickBot="1" x14ac:dyDescent="0.3">
      <c r="A23" s="1"/>
      <c r="B23" t="s">
        <v>53</v>
      </c>
      <c r="C23">
        <f>Calcul!F43</f>
        <v>1200</v>
      </c>
      <c r="D23" t="s">
        <v>20</v>
      </c>
      <c r="K23" s="2"/>
      <c r="M23" s="24"/>
      <c r="O23" s="14" t="s">
        <v>33</v>
      </c>
      <c r="P23" s="25">
        <f>1/4</f>
        <v>0.25</v>
      </c>
      <c r="T23" s="26"/>
      <c r="U23" s="27"/>
      <c r="V23" s="27"/>
      <c r="W23" s="27"/>
      <c r="X23" s="27"/>
      <c r="Y23" s="27"/>
      <c r="Z23" s="27"/>
      <c r="AA23" s="27"/>
      <c r="AB23" s="21"/>
    </row>
    <row r="24" spans="1:28" x14ac:dyDescent="0.25">
      <c r="A24" s="1"/>
      <c r="B24" t="s">
        <v>55</v>
      </c>
      <c r="C24">
        <f>Calcul!F47</f>
        <v>28</v>
      </c>
      <c r="D24" t="s">
        <v>26</v>
      </c>
      <c r="K24" s="2"/>
      <c r="M24" s="24"/>
      <c r="O24" s="14" t="s">
        <v>34</v>
      </c>
      <c r="P24" s="25">
        <f>3/4*MOD(G8,2)*(1+O20)</f>
        <v>0</v>
      </c>
      <c r="T24" s="18"/>
      <c r="V24" s="19"/>
      <c r="W24" s="19"/>
      <c r="X24" s="19"/>
      <c r="Y24" s="19"/>
      <c r="Z24" s="19"/>
      <c r="AA24" s="19"/>
      <c r="AB24" s="20"/>
    </row>
    <row r="25" spans="1:28" x14ac:dyDescent="0.25">
      <c r="A25" s="1"/>
      <c r="K25" s="2"/>
      <c r="M25" s="24"/>
      <c r="O25" s="14" t="s">
        <v>35</v>
      </c>
      <c r="P25" s="25">
        <f>O20/4</f>
        <v>0</v>
      </c>
      <c r="T25" s="24"/>
      <c r="AB25" s="25"/>
    </row>
    <row r="26" spans="1:28" x14ac:dyDescent="0.25">
      <c r="A26" s="1"/>
      <c r="K26" s="2"/>
      <c r="M26" s="24"/>
      <c r="O26" s="14" t="s">
        <v>36</v>
      </c>
      <c r="P26" s="25">
        <f>O20*(O20+1)*(2*O20+1)/6</f>
        <v>0</v>
      </c>
      <c r="T26" s="24"/>
      <c r="AB26" s="25"/>
    </row>
    <row r="27" spans="1:28" x14ac:dyDescent="0.25">
      <c r="A27" s="1"/>
      <c r="K27" s="2"/>
      <c r="M27" s="24"/>
      <c r="O27" s="14" t="s">
        <v>37</v>
      </c>
      <c r="P27" s="25">
        <f>O20*(O20+1)/2</f>
        <v>0</v>
      </c>
      <c r="T27" s="24"/>
      <c r="AB27" s="25"/>
    </row>
    <row r="28" spans="1:28" ht="15.75" thickBot="1" x14ac:dyDescent="0.3">
      <c r="A28" s="1"/>
      <c r="K28" s="2"/>
      <c r="M28" s="26"/>
      <c r="N28" s="27"/>
      <c r="O28" s="30" t="s">
        <v>38</v>
      </c>
      <c r="P28" s="21">
        <f>MOD(G8,2)*O20*(O20+1)/2</f>
        <v>0</v>
      </c>
      <c r="T28" s="24"/>
      <c r="AB28" s="25"/>
    </row>
    <row r="29" spans="1:28" ht="15.75" thickBot="1" x14ac:dyDescent="0.3">
      <c r="A29" s="1"/>
      <c r="B29" s="84" t="s">
        <v>56</v>
      </c>
      <c r="C29" s="85"/>
      <c r="D29" s="86"/>
      <c r="K29" s="2"/>
      <c r="T29" s="26"/>
      <c r="U29" s="27"/>
      <c r="V29" s="27"/>
      <c r="W29" s="27"/>
      <c r="X29" s="27"/>
      <c r="Y29" s="27"/>
      <c r="Z29" s="27"/>
      <c r="AA29" s="27"/>
      <c r="AB29" s="21"/>
    </row>
    <row r="30" spans="1:28" x14ac:dyDescent="0.25">
      <c r="A30" s="1"/>
      <c r="K30" s="2"/>
    </row>
    <row r="31" spans="1:28" x14ac:dyDescent="0.25">
      <c r="A31" s="1"/>
      <c r="B31" s="17" t="s">
        <v>57</v>
      </c>
      <c r="K31" s="2"/>
    </row>
    <row r="32" spans="1:28" x14ac:dyDescent="0.25">
      <c r="A32" s="1"/>
      <c r="C32" s="45" t="s">
        <v>69</v>
      </c>
      <c r="D32" s="43">
        <f>C23*10/(C12*100)</f>
        <v>7.3170731707317085</v>
      </c>
      <c r="E32" t="s">
        <v>50</v>
      </c>
      <c r="J32" s="31">
        <f>D32/($C$17/[2]!gammaM("m0",$K$3))</f>
        <v>2.6607538802660757E-2</v>
      </c>
      <c r="K32" s="2" t="b">
        <f>IF(J32&lt;1,TRUE,FALSE)</f>
        <v>1</v>
      </c>
    </row>
    <row r="33" spans="1:13" x14ac:dyDescent="0.25">
      <c r="A33" s="1"/>
      <c r="C33" s="45" t="s">
        <v>70</v>
      </c>
      <c r="D33" s="43">
        <f>C23*10*C17*[2]!gammaM("m2",K3)/(0.9*C13*100*C18)</f>
        <v>7.0663714722104025</v>
      </c>
      <c r="E33" t="s">
        <v>50</v>
      </c>
      <c r="J33" s="31">
        <f>D33/($C$17/[2]!gammaM("m0",$K$3))</f>
        <v>2.5695896262583281E-2</v>
      </c>
      <c r="K33" s="2" t="b">
        <f>IF(J33&lt;1,TRUE,FALSE)</f>
        <v>1</v>
      </c>
    </row>
    <row r="34" spans="1:13" x14ac:dyDescent="0.25">
      <c r="A34" s="1"/>
      <c r="J34" s="31"/>
      <c r="K34" s="2"/>
    </row>
    <row r="35" spans="1:13" x14ac:dyDescent="0.25">
      <c r="A35" s="1"/>
      <c r="B35" s="46" t="s">
        <v>67</v>
      </c>
      <c r="C35" s="47">
        <f>MAX(D32:D33)</f>
        <v>7.3170731707317085</v>
      </c>
      <c r="D35" s="13" t="s">
        <v>50</v>
      </c>
      <c r="J35" s="31"/>
      <c r="K35" s="2"/>
    </row>
    <row r="36" spans="1:13" x14ac:dyDescent="0.25">
      <c r="A36" s="1"/>
      <c r="J36" s="31"/>
      <c r="K36" s="2"/>
    </row>
    <row r="37" spans="1:13" x14ac:dyDescent="0.25">
      <c r="A37" s="1"/>
      <c r="J37" s="31"/>
      <c r="K37" s="2"/>
    </row>
    <row r="38" spans="1:13" x14ac:dyDescent="0.25">
      <c r="A38" s="1"/>
      <c r="B38" s="17" t="s">
        <v>68</v>
      </c>
      <c r="J38" s="31"/>
      <c r="K38" s="2"/>
    </row>
    <row r="39" spans="1:13" x14ac:dyDescent="0.25">
      <c r="A39" s="1"/>
      <c r="J39" s="31"/>
      <c r="K39" s="2"/>
    </row>
    <row r="40" spans="1:13" x14ac:dyDescent="0.25">
      <c r="A40" s="1"/>
      <c r="B40" s="46" t="s">
        <v>72</v>
      </c>
      <c r="C40" s="47">
        <f>C24*10000/(C16*1000)</f>
        <v>3.7055168768774465</v>
      </c>
      <c r="D40" s="13" t="s">
        <v>50</v>
      </c>
      <c r="J40" s="31">
        <f>C40/($C$17/[2]!gammaM("m0",$K$3))</f>
        <v>1.3474606825008896E-2</v>
      </c>
      <c r="K40" s="2" t="b">
        <f>IF(J40&lt;1,TRUE,FALSE)</f>
        <v>1</v>
      </c>
    </row>
    <row r="41" spans="1:13" x14ac:dyDescent="0.25">
      <c r="A41" s="1"/>
      <c r="C41" s="23"/>
      <c r="J41" s="31"/>
      <c r="K41" s="2"/>
    </row>
    <row r="42" spans="1:13" x14ac:dyDescent="0.25">
      <c r="A42" s="1"/>
      <c r="C42" s="23"/>
      <c r="J42" s="31"/>
      <c r="K42" s="2"/>
    </row>
    <row r="43" spans="1:13" x14ac:dyDescent="0.25">
      <c r="A43" s="1"/>
      <c r="B43" s="46" t="s">
        <v>71</v>
      </c>
      <c r="C43" s="47">
        <f>C40+C35</f>
        <v>11.022590047609155</v>
      </c>
      <c r="D43" s="13" t="s">
        <v>50</v>
      </c>
      <c r="J43" s="31">
        <f>C43/($C$17/[2]!gammaM("m0",$K$3))</f>
        <v>4.0082145627669652E-2</v>
      </c>
      <c r="K43" s="2" t="b">
        <f>IF(J43&lt;1,TRUE,FALSE)</f>
        <v>1</v>
      </c>
      <c r="M43" t="s">
        <v>73</v>
      </c>
    </row>
    <row r="44" spans="1:13" x14ac:dyDescent="0.25">
      <c r="A44" s="1"/>
      <c r="J44" s="31"/>
      <c r="K44" s="2"/>
    </row>
    <row r="45" spans="1:13" x14ac:dyDescent="0.25">
      <c r="A45" s="1"/>
      <c r="J45" s="31"/>
      <c r="K45" s="2"/>
    </row>
    <row r="46" spans="1:13" ht="15.75" thickBot="1" x14ac:dyDescent="0.3">
      <c r="A46" s="1"/>
      <c r="J46" s="31"/>
      <c r="K46" s="2"/>
    </row>
    <row r="47" spans="1:13" ht="15.75" thickBot="1" x14ac:dyDescent="0.3">
      <c r="A47" s="1"/>
      <c r="B47" s="84" t="s">
        <v>74</v>
      </c>
      <c r="C47" s="85"/>
      <c r="D47" s="86"/>
      <c r="J47" s="31"/>
      <c r="K47" s="2"/>
    </row>
    <row r="48" spans="1:13" ht="15.75" thickBot="1" x14ac:dyDescent="0.3">
      <c r="A48" s="1"/>
      <c r="J48" s="31"/>
      <c r="K48" s="2"/>
    </row>
    <row r="49" spans="1:18" x14ac:dyDescent="0.25">
      <c r="A49" s="1"/>
      <c r="J49" s="31"/>
      <c r="K49" s="2"/>
      <c r="M49" s="18" t="s">
        <v>75</v>
      </c>
      <c r="N49" s="19"/>
      <c r="O49" s="19"/>
      <c r="P49" s="20"/>
    </row>
    <row r="50" spans="1:18" x14ac:dyDescent="0.25">
      <c r="A50" s="1"/>
      <c r="B50" s="46" t="s">
        <v>83</v>
      </c>
      <c r="C50" s="48">
        <f>C22*10*O52/(C15*10000*C10)</f>
        <v>13.130056901223147</v>
      </c>
      <c r="D50" s="13" t="s">
        <v>50</v>
      </c>
      <c r="J50" s="31">
        <f>C50/($C$17/(SQRT(3)*[2]!gammaM("m0",$K$3)))</f>
        <v>8.2697911487959491E-2</v>
      </c>
      <c r="K50" s="2" t="b">
        <f>IF(J50&lt;1,TRUE,FALSE)</f>
        <v>1</v>
      </c>
      <c r="M50" s="24"/>
      <c r="N50" t="s">
        <v>76</v>
      </c>
      <c r="O50" s="33">
        <f>C9*C11*(C8/2-C11/2)</f>
        <v>33521.235000000001</v>
      </c>
      <c r="P50" s="25" t="s">
        <v>80</v>
      </c>
    </row>
    <row r="51" spans="1:18" x14ac:dyDescent="0.25">
      <c r="A51" s="1"/>
      <c r="K51" s="2"/>
      <c r="M51" s="24"/>
      <c r="N51" t="s">
        <v>81</v>
      </c>
      <c r="O51" s="33">
        <f>((C8/2-C11)-(G8/2*G9))*C10*(C8/2-C11)/2</f>
        <v>7280.7935000000007</v>
      </c>
      <c r="P51" s="25" t="s">
        <v>80</v>
      </c>
      <c r="R51" t="s">
        <v>158</v>
      </c>
    </row>
    <row r="52" spans="1:18" ht="15.75" thickBot="1" x14ac:dyDescent="0.3">
      <c r="A52" s="1"/>
      <c r="K52" s="2"/>
      <c r="M52" s="26"/>
      <c r="N52" s="30" t="s">
        <v>82</v>
      </c>
      <c r="O52" s="53">
        <f>SUM(O50:O51)</f>
        <v>40802.0285</v>
      </c>
      <c r="P52" s="21" t="s">
        <v>80</v>
      </c>
    </row>
    <row r="53" spans="1:18" ht="15.75" thickBot="1" x14ac:dyDescent="0.3">
      <c r="A53" s="1"/>
      <c r="K53" s="2"/>
    </row>
    <row r="54" spans="1:18" ht="15.75" thickBot="1" x14ac:dyDescent="0.3">
      <c r="A54" s="1"/>
      <c r="B54" s="84" t="s">
        <v>84</v>
      </c>
      <c r="C54" s="85"/>
      <c r="D54" s="86"/>
      <c r="K54" s="2"/>
    </row>
    <row r="55" spans="1:18" x14ac:dyDescent="0.25">
      <c r="A55" s="1"/>
      <c r="K55" s="2"/>
    </row>
    <row r="56" spans="1:18" x14ac:dyDescent="0.25">
      <c r="A56" s="1"/>
      <c r="B56" s="46" t="s">
        <v>85</v>
      </c>
      <c r="C56" s="49">
        <f>SQRT(C43^2+3*C50^2)</f>
        <v>25.272369775027531</v>
      </c>
      <c r="D56" s="13" t="s">
        <v>50</v>
      </c>
      <c r="J56" s="31">
        <f>C56/(C17*[2]!gammaM("m0",K3))</f>
        <v>9.1899526454645566E-2</v>
      </c>
      <c r="K56" s="2" t="b">
        <f>IF(J56&lt;1,TRUE,FALSE)</f>
        <v>1</v>
      </c>
      <c r="M56" t="s">
        <v>86</v>
      </c>
    </row>
    <row r="57" spans="1:18" x14ac:dyDescent="0.25">
      <c r="A57" s="40"/>
      <c r="B57" s="41"/>
      <c r="C57" s="41"/>
      <c r="D57" s="41"/>
      <c r="E57" s="41"/>
      <c r="F57" s="41"/>
      <c r="G57" s="41"/>
      <c r="H57" s="41"/>
      <c r="I57" s="41"/>
      <c r="J57" s="41"/>
      <c r="K57" s="42"/>
    </row>
  </sheetData>
  <mergeCells count="7">
    <mergeCell ref="B47:D47"/>
    <mergeCell ref="B54:D54"/>
    <mergeCell ref="B29:D29"/>
    <mergeCell ref="A1:K2"/>
    <mergeCell ref="B6:D6"/>
    <mergeCell ref="F6:H6"/>
    <mergeCell ref="B20:D20"/>
  </mergeCells>
  <conditionalFormatting sqref="K40">
    <cfRule type="expression" dxfId="39" priority="13">
      <formula>NOT(K40)</formula>
    </cfRule>
    <cfRule type="expression" dxfId="38" priority="14">
      <formula>K40</formula>
    </cfRule>
  </conditionalFormatting>
  <conditionalFormatting sqref="K32:K33">
    <cfRule type="expression" dxfId="37" priority="9">
      <formula>NOT(K32)</formula>
    </cfRule>
    <cfRule type="expression" dxfId="36" priority="10">
      <formula>K32</formula>
    </cfRule>
  </conditionalFormatting>
  <conditionalFormatting sqref="K43">
    <cfRule type="expression" dxfId="35" priority="7">
      <formula>NOT(K43)</formula>
    </cfRule>
    <cfRule type="expression" dxfId="34" priority="8">
      <formula>K43</formula>
    </cfRule>
  </conditionalFormatting>
  <conditionalFormatting sqref="K50">
    <cfRule type="expression" dxfId="33" priority="3">
      <formula>NOT(K50)</formula>
    </cfRule>
    <cfRule type="expression" dxfId="32" priority="4">
      <formula>K50</formula>
    </cfRule>
  </conditionalFormatting>
  <conditionalFormatting sqref="K56">
    <cfRule type="expression" dxfId="31" priority="1">
      <formula>NOT(K56)</formula>
    </cfRule>
    <cfRule type="expression" dxfId="30" priority="2">
      <formula>K56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D3546-E4BA-4289-8E8C-E363C8D450BD}">
  <sheetPr codeName="Feuil4"/>
  <dimension ref="A1:K57"/>
  <sheetViews>
    <sheetView zoomScaleNormal="100" workbookViewId="0">
      <selection activeCell="C15" sqref="C15"/>
    </sheetView>
  </sheetViews>
  <sheetFormatPr baseColWidth="10" defaultRowHeight="15" x14ac:dyDescent="0.25"/>
  <sheetData>
    <row r="1" spans="1:11" x14ac:dyDescent="0.25">
      <c r="A1" s="78" t="s">
        <v>88</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t="s">
        <v>48</v>
      </c>
      <c r="C8">
        <f>Calcul!D31</f>
        <v>140</v>
      </c>
      <c r="D8" t="s">
        <v>14</v>
      </c>
      <c r="F8" s="14" t="s">
        <v>39</v>
      </c>
      <c r="G8" s="14">
        <f>Calcul!E5</f>
        <v>2</v>
      </c>
      <c r="K8" s="2"/>
    </row>
    <row r="9" spans="1:11" x14ac:dyDescent="0.25">
      <c r="A9" s="1"/>
      <c r="B9" s="46"/>
      <c r="C9" s="13"/>
      <c r="D9" s="13"/>
      <c r="F9" t="s">
        <v>96</v>
      </c>
      <c r="G9">
        <f>Calcul!E6</f>
        <v>1</v>
      </c>
      <c r="K9" s="2"/>
    </row>
    <row r="10" spans="1:11" x14ac:dyDescent="0.25">
      <c r="A10" s="1"/>
      <c r="B10" s="14" t="s">
        <v>25</v>
      </c>
      <c r="C10" s="14">
        <f>Calcul!D33</f>
        <v>4.7</v>
      </c>
      <c r="D10" t="s">
        <v>14</v>
      </c>
      <c r="F10" s="14" t="s">
        <v>30</v>
      </c>
      <c r="G10" s="14">
        <f>Calcul!E9</f>
        <v>14</v>
      </c>
      <c r="H10" t="s">
        <v>14</v>
      </c>
      <c r="K10" s="2"/>
    </row>
    <row r="11" spans="1:11" x14ac:dyDescent="0.25">
      <c r="A11" s="1"/>
      <c r="B11" s="46"/>
      <c r="C11" s="13"/>
      <c r="D11" s="13"/>
      <c r="F11" s="14" t="s">
        <v>31</v>
      </c>
      <c r="G11" s="14">
        <f>Calcul!E14</f>
        <v>60</v>
      </c>
      <c r="H11" t="s">
        <v>14</v>
      </c>
      <c r="K11" s="2"/>
    </row>
    <row r="12" spans="1:11" x14ac:dyDescent="0.25">
      <c r="A12" s="1"/>
      <c r="B12" s="46"/>
      <c r="C12" s="13"/>
      <c r="D12" s="13"/>
      <c r="F12" s="14" t="s">
        <v>40</v>
      </c>
      <c r="G12">
        <f>IF(Calcul!E6&gt;1,Calcul!I14,0)</f>
        <v>0</v>
      </c>
      <c r="H12" t="s">
        <v>14</v>
      </c>
      <c r="K12" s="2"/>
    </row>
    <row r="13" spans="1:11" x14ac:dyDescent="0.25">
      <c r="A13" s="1"/>
      <c r="B13" s="46"/>
      <c r="C13" s="48"/>
      <c r="D13" s="13"/>
      <c r="F13" t="s">
        <v>89</v>
      </c>
      <c r="G13">
        <f>(C8-(G8-1)*G11)/2</f>
        <v>40</v>
      </c>
      <c r="H13" t="s">
        <v>14</v>
      </c>
      <c r="K13" s="2"/>
    </row>
    <row r="14" spans="1:11" x14ac:dyDescent="0.25">
      <c r="A14" s="1"/>
      <c r="B14" s="14" t="s">
        <v>49</v>
      </c>
      <c r="C14">
        <f>Calcul!D37</f>
        <v>275</v>
      </c>
      <c r="D14" t="s">
        <v>50</v>
      </c>
      <c r="F14" t="s">
        <v>94</v>
      </c>
      <c r="G14">
        <f>Calcul!E15</f>
        <v>25</v>
      </c>
      <c r="H14" t="s">
        <v>14</v>
      </c>
      <c r="K14" s="2"/>
    </row>
    <row r="15" spans="1:11" x14ac:dyDescent="0.25">
      <c r="A15" s="1"/>
      <c r="B15" s="14" t="s">
        <v>66</v>
      </c>
      <c r="C15">
        <f>Calcul!D38</f>
        <v>430</v>
      </c>
      <c r="D15" t="s">
        <v>50</v>
      </c>
      <c r="K15" s="2"/>
    </row>
    <row r="16" spans="1:11" x14ac:dyDescent="0.25">
      <c r="A16" s="1"/>
      <c r="B16" s="14"/>
      <c r="C16" s="44"/>
      <c r="K16" s="2"/>
    </row>
    <row r="17" spans="1:11" ht="15.75" thickBot="1" x14ac:dyDescent="0.3">
      <c r="A17" s="1"/>
      <c r="K17" s="2"/>
    </row>
    <row r="18" spans="1:11" ht="15.75" thickBot="1" x14ac:dyDescent="0.3">
      <c r="A18" s="1"/>
      <c r="B18" s="84" t="s">
        <v>52</v>
      </c>
      <c r="C18" s="85"/>
      <c r="D18" s="86"/>
      <c r="K18" s="2"/>
    </row>
    <row r="19" spans="1:11" x14ac:dyDescent="0.25">
      <c r="A19" s="1"/>
      <c r="K19" s="2"/>
    </row>
    <row r="20" spans="1:11" x14ac:dyDescent="0.25">
      <c r="A20" s="1"/>
      <c r="B20" t="s">
        <v>54</v>
      </c>
      <c r="C20" s="33">
        <f>Calcul!F42</f>
        <v>800</v>
      </c>
      <c r="D20" t="s">
        <v>20</v>
      </c>
      <c r="K20" s="2"/>
    </row>
    <row r="21" spans="1:11" x14ac:dyDescent="0.25">
      <c r="A21" s="1"/>
      <c r="B21" t="s">
        <v>53</v>
      </c>
      <c r="C21" s="33">
        <f>Calcul!F43</f>
        <v>1200</v>
      </c>
      <c r="D21" t="s">
        <v>20</v>
      </c>
      <c r="K21" s="2"/>
    </row>
    <row r="22" spans="1:11" x14ac:dyDescent="0.25">
      <c r="A22" s="1"/>
      <c r="K22" s="2"/>
    </row>
    <row r="23" spans="1:11" x14ac:dyDescent="0.25">
      <c r="A23" s="1"/>
      <c r="K23" s="2"/>
    </row>
    <row r="24" spans="1:11" ht="15.75" thickBot="1" x14ac:dyDescent="0.3">
      <c r="A24" s="1"/>
      <c r="K24" s="2"/>
    </row>
    <row r="25" spans="1:11" ht="15.75" thickBot="1" x14ac:dyDescent="0.3">
      <c r="A25" s="1"/>
      <c r="B25" s="84" t="s">
        <v>90</v>
      </c>
      <c r="C25" s="85"/>
      <c r="D25" s="86"/>
      <c r="K25" s="2"/>
    </row>
    <row r="26" spans="1:11" x14ac:dyDescent="0.25">
      <c r="A26" s="1"/>
      <c r="K26" s="2"/>
    </row>
    <row r="27" spans="1:11" x14ac:dyDescent="0.25">
      <c r="A27" s="1"/>
      <c r="B27" t="s">
        <v>91</v>
      </c>
      <c r="C27" s="33">
        <f>(0.5*C15*D29/[2]!gammaM("m2",K3)+1/SQRT(3)*C14*D30/[2]!gammaM("m0",K3))/10</f>
        <v>7350.2992611279724</v>
      </c>
      <c r="D27" t="s">
        <v>20</v>
      </c>
      <c r="J27" s="31">
        <f>C20/C27</f>
        <v>0.10883910594372623</v>
      </c>
      <c r="K27" s="2" t="b">
        <f>IF(J27&lt;1,TRUE,FALSE)</f>
        <v>1</v>
      </c>
    </row>
    <row r="28" spans="1:11" x14ac:dyDescent="0.25">
      <c r="A28" s="1"/>
      <c r="B28" t="s">
        <v>92</v>
      </c>
      <c r="K28" s="2"/>
    </row>
    <row r="29" spans="1:11" x14ac:dyDescent="0.25">
      <c r="A29" s="1"/>
      <c r="C29" t="s">
        <v>97</v>
      </c>
      <c r="D29" s="44">
        <f>(G14+(G9-1)*G12-(G9-0.5)*G10)*C10</f>
        <v>84.600000000000009</v>
      </c>
      <c r="E29" t="s">
        <v>99</v>
      </c>
      <c r="K29" s="2"/>
    </row>
    <row r="30" spans="1:11" x14ac:dyDescent="0.25">
      <c r="A30" s="1"/>
      <c r="C30" t="s">
        <v>98</v>
      </c>
      <c r="D30" s="44">
        <f>(G13+(G8-1)*G11-(G8-0.5)*G10)*C10</f>
        <v>371.3</v>
      </c>
      <c r="E30" t="s">
        <v>99</v>
      </c>
      <c r="K30" s="2"/>
    </row>
    <row r="31" spans="1:11" x14ac:dyDescent="0.25">
      <c r="A31" s="1"/>
      <c r="K31" s="2"/>
    </row>
    <row r="32" spans="1:11" x14ac:dyDescent="0.25">
      <c r="A32" s="1"/>
      <c r="K32" s="2"/>
    </row>
    <row r="33" spans="1:11" ht="15.75" thickBot="1" x14ac:dyDescent="0.3">
      <c r="A33" s="1"/>
      <c r="K33" s="2"/>
    </row>
    <row r="34" spans="1:11" ht="15.75" thickBot="1" x14ac:dyDescent="0.3">
      <c r="A34" s="1"/>
      <c r="B34" s="84" t="s">
        <v>100</v>
      </c>
      <c r="C34" s="85"/>
      <c r="D34" s="86"/>
      <c r="K34" s="2"/>
    </row>
    <row r="35" spans="1:11" x14ac:dyDescent="0.25">
      <c r="A35" s="1"/>
      <c r="K35" s="2"/>
    </row>
    <row r="36" spans="1:11" x14ac:dyDescent="0.25">
      <c r="A36" s="1"/>
      <c r="B36" t="s">
        <v>101</v>
      </c>
      <c r="C36" s="33">
        <f>(C15*D38/[2]!gammaM("m2",K3)+1/SQRT(3)*C14*D39/[2]!gammaM("m0",K3))/10</f>
        <v>10123.690802539331</v>
      </c>
      <c r="D36" t="s">
        <v>20</v>
      </c>
      <c r="J36" s="31">
        <f>C21/C36</f>
        <v>0.11853384535400896</v>
      </c>
      <c r="K36" s="2" t="b">
        <f>IF(J36&lt;1,TRUE,FALSE)</f>
        <v>1</v>
      </c>
    </row>
    <row r="37" spans="1:11" x14ac:dyDescent="0.25">
      <c r="A37" s="1"/>
      <c r="B37" t="s">
        <v>92</v>
      </c>
      <c r="K37" s="2"/>
    </row>
    <row r="38" spans="1:11" x14ac:dyDescent="0.25">
      <c r="A38" s="1"/>
      <c r="C38" t="s">
        <v>97</v>
      </c>
      <c r="D38" s="44">
        <f>((G8-1)*G11-(G8-1)*G10)*C10</f>
        <v>216.20000000000002</v>
      </c>
      <c r="E38" t="s">
        <v>99</v>
      </c>
      <c r="K38" s="2"/>
    </row>
    <row r="39" spans="1:11" x14ac:dyDescent="0.25">
      <c r="A39" s="1"/>
      <c r="C39" t="s">
        <v>98</v>
      </c>
      <c r="D39" s="44">
        <f>2*((G9-1)*G12+G14-(G9-0.5)*G10)*C10</f>
        <v>169.20000000000002</v>
      </c>
      <c r="E39" t="s">
        <v>99</v>
      </c>
      <c r="K39" s="2"/>
    </row>
    <row r="40" spans="1:11" x14ac:dyDescent="0.25">
      <c r="A40" s="1"/>
      <c r="K40" s="2"/>
    </row>
    <row r="41" spans="1:11" x14ac:dyDescent="0.25">
      <c r="A41" s="1"/>
      <c r="K41" s="2"/>
    </row>
    <row r="42" spans="1:11" ht="15.75" thickBot="1" x14ac:dyDescent="0.3">
      <c r="A42" s="1"/>
      <c r="K42" s="2"/>
    </row>
    <row r="43" spans="1:11" ht="15.75" thickBot="1" x14ac:dyDescent="0.3">
      <c r="A43" s="1"/>
      <c r="B43" s="84" t="s">
        <v>102</v>
      </c>
      <c r="C43" s="85"/>
      <c r="D43" s="86"/>
      <c r="K43" s="2"/>
    </row>
    <row r="44" spans="1:11" x14ac:dyDescent="0.25">
      <c r="A44" s="1"/>
      <c r="K44" s="2"/>
    </row>
    <row r="45" spans="1:11" x14ac:dyDescent="0.25">
      <c r="A45" s="1"/>
      <c r="K45" s="2"/>
    </row>
    <row r="46" spans="1:11" x14ac:dyDescent="0.25">
      <c r="A46" s="1"/>
      <c r="J46" s="31">
        <f>J36+J27</f>
        <v>0.22737295129773519</v>
      </c>
      <c r="K46" s="2" t="b">
        <f>IF(J46&lt;1,TRUE,FALSE)</f>
        <v>1</v>
      </c>
    </row>
    <row r="47" spans="1:11" x14ac:dyDescent="0.25">
      <c r="A47" s="1"/>
      <c r="K47" s="2"/>
    </row>
    <row r="48" spans="1:11" x14ac:dyDescent="0.25">
      <c r="A48" s="1"/>
      <c r="K48" s="2"/>
    </row>
    <row r="49" spans="1:11" x14ac:dyDescent="0.25">
      <c r="A49" s="1"/>
      <c r="K49" s="2"/>
    </row>
    <row r="50" spans="1:11" x14ac:dyDescent="0.25">
      <c r="A50" s="1"/>
      <c r="K50" s="2"/>
    </row>
    <row r="51" spans="1:11" x14ac:dyDescent="0.25">
      <c r="A51" s="1"/>
      <c r="K51" s="2"/>
    </row>
    <row r="52" spans="1:11" x14ac:dyDescent="0.25">
      <c r="A52" s="1"/>
      <c r="K52" s="2"/>
    </row>
    <row r="53" spans="1:11" x14ac:dyDescent="0.25">
      <c r="A53" s="1"/>
      <c r="K53" s="2"/>
    </row>
    <row r="54" spans="1:11" x14ac:dyDescent="0.25">
      <c r="A54" s="1"/>
      <c r="K54" s="2"/>
    </row>
    <row r="55" spans="1:11" x14ac:dyDescent="0.25">
      <c r="A55" s="1"/>
      <c r="K55" s="2"/>
    </row>
    <row r="56" spans="1:11" x14ac:dyDescent="0.25">
      <c r="A56" s="1"/>
      <c r="K56" s="2"/>
    </row>
    <row r="57" spans="1:11" x14ac:dyDescent="0.25">
      <c r="A57" s="40"/>
      <c r="B57" s="41"/>
      <c r="C57" s="41"/>
      <c r="D57" s="41"/>
      <c r="E57" s="41"/>
      <c r="F57" s="41"/>
      <c r="G57" s="41"/>
      <c r="H57" s="41"/>
      <c r="I57" s="41"/>
      <c r="J57" s="41"/>
      <c r="K57" s="42"/>
    </row>
  </sheetData>
  <mergeCells count="7">
    <mergeCell ref="B43:D43"/>
    <mergeCell ref="A1:K2"/>
    <mergeCell ref="B6:D6"/>
    <mergeCell ref="F6:H6"/>
    <mergeCell ref="B25:D25"/>
    <mergeCell ref="B34:D34"/>
    <mergeCell ref="B18:D18"/>
  </mergeCells>
  <conditionalFormatting sqref="K27">
    <cfRule type="expression" dxfId="29" priority="5">
      <formula>NOT(K27)</formula>
    </cfRule>
    <cfRule type="expression" dxfId="28" priority="6">
      <formula>K27</formula>
    </cfRule>
  </conditionalFormatting>
  <conditionalFormatting sqref="K36">
    <cfRule type="expression" dxfId="27" priority="3">
      <formula>NOT(K36)</formula>
    </cfRule>
    <cfRule type="expression" dxfId="26" priority="4">
      <formula>K36</formula>
    </cfRule>
  </conditionalFormatting>
  <conditionalFormatting sqref="K46">
    <cfRule type="expression" dxfId="25" priority="1">
      <formula>NOT(K46)</formula>
    </cfRule>
    <cfRule type="expression" dxfId="24" priority="2">
      <formula>K46</formula>
    </cfRule>
  </conditionalFormatting>
  <pageMargins left="0.7" right="0.7" top="0.75" bottom="0.75" header="0.3" footer="0.3"/>
  <pageSetup paperSize="9" scale="6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C90CF-F6C1-409D-AB35-01074AAA1C6D}">
  <sheetPr codeName="Feuil5"/>
  <dimension ref="A1:AJ61"/>
  <sheetViews>
    <sheetView topLeftCell="G24" zoomScaleNormal="100" workbookViewId="0">
      <selection activeCell="Q44" sqref="Q44"/>
    </sheetView>
  </sheetViews>
  <sheetFormatPr baseColWidth="10" defaultRowHeight="15" x14ac:dyDescent="0.25"/>
  <sheetData>
    <row r="1" spans="1:13" x14ac:dyDescent="0.25">
      <c r="A1" s="78" t="s">
        <v>103</v>
      </c>
      <c r="B1" s="79"/>
      <c r="C1" s="79"/>
      <c r="D1" s="79"/>
      <c r="E1" s="79"/>
      <c r="F1" s="79"/>
      <c r="G1" s="79"/>
      <c r="H1" s="79"/>
      <c r="I1" s="79"/>
      <c r="J1" s="79"/>
      <c r="K1" s="80"/>
    </row>
    <row r="2" spans="1:13" x14ac:dyDescent="0.25">
      <c r="A2" s="81"/>
      <c r="B2" s="82"/>
      <c r="C2" s="82"/>
      <c r="D2" s="82"/>
      <c r="E2" s="82"/>
      <c r="F2" s="82"/>
      <c r="G2" s="82"/>
      <c r="H2" s="82"/>
      <c r="I2" s="82"/>
      <c r="J2" s="82"/>
      <c r="K2" s="83"/>
    </row>
    <row r="3" spans="1:13" x14ac:dyDescent="0.25">
      <c r="A3" s="1"/>
      <c r="J3" s="14" t="s">
        <v>65</v>
      </c>
      <c r="K3" s="2" t="str">
        <f>Calcul!J5</f>
        <v>NF</v>
      </c>
    </row>
    <row r="4" spans="1:13" x14ac:dyDescent="0.25">
      <c r="A4" s="1"/>
      <c r="K4" s="2"/>
    </row>
    <row r="5" spans="1:13" ht="15.75" thickBot="1" x14ac:dyDescent="0.3">
      <c r="A5" s="1"/>
      <c r="K5" s="2"/>
    </row>
    <row r="6" spans="1:13" ht="15.75" thickBot="1" x14ac:dyDescent="0.3">
      <c r="A6" s="1"/>
      <c r="B6" s="84" t="s">
        <v>58</v>
      </c>
      <c r="C6" s="85"/>
      <c r="D6" s="86"/>
      <c r="F6" s="84" t="s">
        <v>59</v>
      </c>
      <c r="G6" s="85"/>
      <c r="H6" s="86"/>
      <c r="K6" s="2"/>
      <c r="M6" t="s">
        <v>185</v>
      </c>
    </row>
    <row r="7" spans="1:13" x14ac:dyDescent="0.25">
      <c r="A7" s="1"/>
      <c r="K7" s="2"/>
      <c r="M7" t="s">
        <v>186</v>
      </c>
    </row>
    <row r="8" spans="1:13" x14ac:dyDescent="0.25">
      <c r="A8" s="1"/>
      <c r="B8" s="14" t="s">
        <v>48</v>
      </c>
      <c r="C8">
        <f>Calcul!D31</f>
        <v>140</v>
      </c>
      <c r="D8" t="s">
        <v>14</v>
      </c>
      <c r="F8" s="14" t="s">
        <v>39</v>
      </c>
      <c r="G8" s="14">
        <f>Calcul!E5</f>
        <v>2</v>
      </c>
      <c r="K8" s="2"/>
    </row>
    <row r="9" spans="1:13" x14ac:dyDescent="0.25">
      <c r="A9" s="1"/>
      <c r="B9" s="14" t="s">
        <v>25</v>
      </c>
      <c r="C9" s="14">
        <f>Calcul!D33</f>
        <v>4.7</v>
      </c>
      <c r="D9" t="s">
        <v>14</v>
      </c>
      <c r="F9" s="14" t="s">
        <v>106</v>
      </c>
      <c r="G9">
        <f>Calcul!E6</f>
        <v>1</v>
      </c>
      <c r="K9" s="2"/>
    </row>
    <row r="10" spans="1:13" x14ac:dyDescent="0.25">
      <c r="A10" s="1"/>
      <c r="B10" s="14" t="s">
        <v>66</v>
      </c>
      <c r="C10">
        <f>Calcul!D38</f>
        <v>430</v>
      </c>
      <c r="D10" t="s">
        <v>50</v>
      </c>
      <c r="F10" s="14" t="s">
        <v>132</v>
      </c>
      <c r="G10">
        <f>Calcul!E7</f>
        <v>12</v>
      </c>
      <c r="H10" t="s">
        <v>14</v>
      </c>
      <c r="K10" s="2"/>
    </row>
    <row r="11" spans="1:13" ht="15.75" thickBot="1" x14ac:dyDescent="0.3">
      <c r="A11" s="1"/>
      <c r="B11" s="14"/>
      <c r="F11" s="14" t="s">
        <v>30</v>
      </c>
      <c r="G11" s="14">
        <f>Calcul!E9</f>
        <v>14</v>
      </c>
      <c r="H11" t="s">
        <v>14</v>
      </c>
      <c r="K11" s="2"/>
    </row>
    <row r="12" spans="1:13" ht="15.75" thickBot="1" x14ac:dyDescent="0.3">
      <c r="A12" s="1"/>
      <c r="B12" s="84" t="s">
        <v>181</v>
      </c>
      <c r="C12" s="85"/>
      <c r="D12" s="86"/>
      <c r="F12" s="14" t="s">
        <v>89</v>
      </c>
      <c r="G12">
        <f>(C8-(G8-1)*G13)/2</f>
        <v>40</v>
      </c>
      <c r="H12" t="s">
        <v>14</v>
      </c>
      <c r="K12" s="2"/>
    </row>
    <row r="13" spans="1:13" x14ac:dyDescent="0.25">
      <c r="A13" s="1"/>
      <c r="B13" s="14"/>
      <c r="C13" s="43"/>
      <c r="F13" s="14" t="s">
        <v>31</v>
      </c>
      <c r="G13" s="14">
        <f>Calcul!E14</f>
        <v>60</v>
      </c>
      <c r="H13" t="s">
        <v>14</v>
      </c>
      <c r="K13" s="2"/>
    </row>
    <row r="14" spans="1:13" x14ac:dyDescent="0.25">
      <c r="A14" s="1"/>
      <c r="B14" s="14" t="s">
        <v>144</v>
      </c>
      <c r="C14">
        <f>Calcul!E11</f>
        <v>0</v>
      </c>
      <c r="D14" t="s">
        <v>14</v>
      </c>
      <c r="F14" s="14" t="s">
        <v>94</v>
      </c>
      <c r="G14">
        <f>Calcul!E15</f>
        <v>25</v>
      </c>
      <c r="H14" t="s">
        <v>14</v>
      </c>
      <c r="K14" s="2"/>
    </row>
    <row r="15" spans="1:13" x14ac:dyDescent="0.25">
      <c r="A15" s="1"/>
      <c r="B15" s="14" t="s">
        <v>66</v>
      </c>
      <c r="C15" s="44">
        <f>Calcul!I32</f>
        <v>360</v>
      </c>
      <c r="D15" t="s">
        <v>14</v>
      </c>
      <c r="F15" s="14" t="s">
        <v>40</v>
      </c>
      <c r="G15">
        <f>IF(Calcul!E6&gt;1,Calcul!I14,0)</f>
        <v>0</v>
      </c>
      <c r="H15" t="s">
        <v>14</v>
      </c>
      <c r="K15" s="2"/>
    </row>
    <row r="16" spans="1:13" x14ac:dyDescent="0.25">
      <c r="A16" s="1"/>
      <c r="F16" s="14" t="s">
        <v>15</v>
      </c>
      <c r="G16" s="23" t="str">
        <f>Calcul!E8</f>
        <v>8.8</v>
      </c>
      <c r="K16" s="2"/>
    </row>
    <row r="17" spans="1:27" ht="15.75" thickBot="1" x14ac:dyDescent="0.3">
      <c r="A17" s="1"/>
      <c r="B17" s="14"/>
      <c r="K17" s="2"/>
    </row>
    <row r="18" spans="1:27" ht="15.75" thickBot="1" x14ac:dyDescent="0.3">
      <c r="A18" s="1"/>
      <c r="B18" s="84" t="s">
        <v>182</v>
      </c>
      <c r="C18" s="85"/>
      <c r="D18" s="86"/>
      <c r="K18" s="2"/>
    </row>
    <row r="19" spans="1:27" x14ac:dyDescent="0.25">
      <c r="A19" s="1"/>
      <c r="B19" s="14"/>
      <c r="K19" s="2"/>
    </row>
    <row r="20" spans="1:27" x14ac:dyDescent="0.25">
      <c r="A20" s="1"/>
      <c r="B20" t="s">
        <v>183</v>
      </c>
      <c r="C20" s="14">
        <f>IF(C14=0,C9,C9+C14)</f>
        <v>4.7</v>
      </c>
      <c r="D20" t="s">
        <v>14</v>
      </c>
      <c r="K20" s="2"/>
    </row>
    <row r="21" spans="1:27" x14ac:dyDescent="0.25">
      <c r="A21" s="1"/>
      <c r="B21" s="14" t="s">
        <v>184</v>
      </c>
      <c r="C21">
        <f>IF(C14=0,C10,MIN(C10,C15))</f>
        <v>430</v>
      </c>
      <c r="D21" t="s">
        <v>14</v>
      </c>
      <c r="K21" s="2"/>
    </row>
    <row r="22" spans="1:27" ht="15.75" thickBot="1" x14ac:dyDescent="0.3">
      <c r="A22" s="1"/>
      <c r="K22" s="2"/>
    </row>
    <row r="23" spans="1:27" ht="15.75" thickBot="1" x14ac:dyDescent="0.3">
      <c r="A23" s="1"/>
      <c r="B23" s="84" t="s">
        <v>52</v>
      </c>
      <c r="C23" s="85"/>
      <c r="D23" s="86"/>
      <c r="F23" s="84" t="s">
        <v>107</v>
      </c>
      <c r="G23" s="85"/>
      <c r="H23" s="85"/>
      <c r="I23" s="86"/>
      <c r="K23" s="2"/>
    </row>
    <row r="24" spans="1:27" ht="15.75" thickBot="1" x14ac:dyDescent="0.3">
      <c r="A24" s="1"/>
      <c r="K24" s="2"/>
    </row>
    <row r="25" spans="1:27" x14ac:dyDescent="0.25">
      <c r="A25" s="1"/>
      <c r="B25" t="s">
        <v>54</v>
      </c>
      <c r="C25" s="33">
        <f>Calcul!F42</f>
        <v>800</v>
      </c>
      <c r="D25" t="s">
        <v>20</v>
      </c>
      <c r="F25" t="s">
        <v>108</v>
      </c>
      <c r="G25">
        <f>(0.5*G9-0.5)*G15</f>
        <v>0</v>
      </c>
      <c r="H25" t="s">
        <v>14</v>
      </c>
      <c r="K25" s="2"/>
      <c r="N25" s="34" t="s">
        <v>104</v>
      </c>
      <c r="O25" s="19"/>
      <c r="P25" s="19"/>
      <c r="Q25" s="19"/>
      <c r="R25" s="20"/>
      <c r="T25" s="34" t="s">
        <v>111</v>
      </c>
      <c r="U25" s="19"/>
      <c r="V25" s="19"/>
      <c r="W25" s="19"/>
      <c r="X25" s="19"/>
      <c r="Y25" s="19"/>
      <c r="Z25" s="19"/>
      <c r="AA25" s="20"/>
    </row>
    <row r="26" spans="1:27" x14ac:dyDescent="0.25">
      <c r="A26" s="1"/>
      <c r="B26" t="s">
        <v>53</v>
      </c>
      <c r="C26" s="33">
        <f>Calcul!F43</f>
        <v>1200</v>
      </c>
      <c r="D26" t="s">
        <v>20</v>
      </c>
      <c r="F26" t="s">
        <v>109</v>
      </c>
      <c r="G26">
        <f>(0.5*G8-0.5)*G13</f>
        <v>30</v>
      </c>
      <c r="H26" t="s">
        <v>14</v>
      </c>
      <c r="K26" s="2"/>
      <c r="N26" s="24"/>
      <c r="R26" s="25"/>
      <c r="T26" s="24"/>
      <c r="AA26" s="25"/>
    </row>
    <row r="27" spans="1:27" x14ac:dyDescent="0.25">
      <c r="A27" s="1"/>
      <c r="B27" t="s">
        <v>55</v>
      </c>
      <c r="C27">
        <f>Calcul!F47</f>
        <v>28</v>
      </c>
      <c r="D27" t="s">
        <v>26</v>
      </c>
      <c r="F27" s="45" t="s">
        <v>110</v>
      </c>
      <c r="G27">
        <f>V41+V60</f>
        <v>1800</v>
      </c>
      <c r="H27" t="s">
        <v>99</v>
      </c>
      <c r="K27" s="2"/>
      <c r="N27" s="24"/>
      <c r="R27" s="25"/>
      <c r="T27" s="24"/>
      <c r="AA27" s="25"/>
    </row>
    <row r="28" spans="1:27" x14ac:dyDescent="0.25">
      <c r="A28" s="1"/>
      <c r="K28" s="2"/>
      <c r="N28" s="35" t="s">
        <v>105</v>
      </c>
      <c r="R28" s="25"/>
      <c r="T28" s="24"/>
      <c r="AA28" s="25"/>
    </row>
    <row r="29" spans="1:27" x14ac:dyDescent="0.25">
      <c r="A29" s="1"/>
      <c r="K29" s="2"/>
      <c r="N29" s="24"/>
      <c r="R29" s="25"/>
      <c r="T29" s="24"/>
      <c r="AA29" s="25"/>
    </row>
    <row r="30" spans="1:27" ht="15.75" thickBot="1" x14ac:dyDescent="0.3">
      <c r="A30" s="1"/>
      <c r="K30" s="2"/>
      <c r="N30" s="26"/>
      <c r="O30" s="27"/>
      <c r="P30" s="27"/>
      <c r="Q30" s="27"/>
      <c r="R30" s="21"/>
      <c r="T30" s="24"/>
      <c r="AA30" s="25"/>
    </row>
    <row r="31" spans="1:27" ht="15.75" thickBot="1" x14ac:dyDescent="0.3">
      <c r="A31" s="1"/>
      <c r="B31" s="84" t="s">
        <v>128</v>
      </c>
      <c r="C31" s="85"/>
      <c r="D31" s="85"/>
      <c r="E31" s="85"/>
      <c r="F31" s="85"/>
      <c r="G31" s="85"/>
      <c r="H31" s="85"/>
      <c r="I31" s="86"/>
      <c r="K31" s="2"/>
      <c r="T31" s="24"/>
      <c r="AA31" s="25"/>
    </row>
    <row r="32" spans="1:27" x14ac:dyDescent="0.25">
      <c r="A32" s="1"/>
      <c r="K32" s="2"/>
      <c r="T32" s="24"/>
      <c r="AA32" s="25"/>
    </row>
    <row r="33" spans="1:36" x14ac:dyDescent="0.25">
      <c r="A33" s="1"/>
      <c r="B33" s="17" t="s">
        <v>124</v>
      </c>
      <c r="K33" s="2"/>
      <c r="T33" s="24"/>
      <c r="U33" s="14" t="s">
        <v>116</v>
      </c>
      <c r="V33">
        <f>QUOTIENT(G9,2)-1</f>
        <v>-1</v>
      </c>
      <c r="AA33" s="25"/>
    </row>
    <row r="34" spans="1:36" x14ac:dyDescent="0.25">
      <c r="A34" s="1"/>
      <c r="C34" s="14" t="s">
        <v>123</v>
      </c>
      <c r="D34" s="44">
        <f>C25/(G9*G8)</f>
        <v>400</v>
      </c>
      <c r="E34" t="s">
        <v>20</v>
      </c>
      <c r="K34" s="2"/>
      <c r="T34" s="24"/>
      <c r="U34" s="14" t="s">
        <v>113</v>
      </c>
      <c r="V34">
        <f>2*G15^2*G8</f>
        <v>0</v>
      </c>
      <c r="AA34" s="25"/>
    </row>
    <row r="35" spans="1:36" x14ac:dyDescent="0.25">
      <c r="A35" s="1"/>
      <c r="C35" s="14" t="s">
        <v>68</v>
      </c>
      <c r="D35" s="44">
        <f>(C27*10000*G25/G27)/10</f>
        <v>0</v>
      </c>
      <c r="E35" t="s">
        <v>20</v>
      </c>
      <c r="K35" s="2"/>
      <c r="T35" s="24"/>
      <c r="U35" s="14" t="s">
        <v>114</v>
      </c>
      <c r="V35">
        <f>1/4</f>
        <v>0.25</v>
      </c>
      <c r="AA35" s="25"/>
      <c r="AJ35">
        <v>1</v>
      </c>
    </row>
    <row r="36" spans="1:36" x14ac:dyDescent="0.25">
      <c r="A36" s="1"/>
      <c r="C36" s="50" t="s">
        <v>126</v>
      </c>
      <c r="D36" s="52">
        <f>D34+D35</f>
        <v>400</v>
      </c>
      <c r="E36" s="17" t="s">
        <v>20</v>
      </c>
      <c r="K36" s="2"/>
      <c r="T36" s="24"/>
      <c r="U36" s="14" t="s">
        <v>115</v>
      </c>
      <c r="V36">
        <f>3/4*MOD(G9,2)*(1+V33)</f>
        <v>0</v>
      </c>
      <c r="AA36" s="25"/>
    </row>
    <row r="37" spans="1:36" x14ac:dyDescent="0.25">
      <c r="A37" s="1"/>
      <c r="K37" s="2"/>
      <c r="N37" s="17"/>
      <c r="T37" s="24"/>
      <c r="U37" s="14" t="s">
        <v>117</v>
      </c>
      <c r="V37">
        <f>V33/4</f>
        <v>-0.25</v>
      </c>
      <c r="AA37" s="25"/>
    </row>
    <row r="38" spans="1:36" x14ac:dyDescent="0.25">
      <c r="A38" s="1"/>
      <c r="K38" s="2"/>
      <c r="T38" s="24"/>
      <c r="U38" s="14" t="s">
        <v>118</v>
      </c>
      <c r="V38">
        <f>V33*(V33+1)*(2*V33+1)/6</f>
        <v>0</v>
      </c>
      <c r="AA38" s="25"/>
    </row>
    <row r="39" spans="1:36" x14ac:dyDescent="0.25">
      <c r="A39" s="1"/>
      <c r="B39" s="17" t="s">
        <v>125</v>
      </c>
      <c r="K39" s="2"/>
      <c r="T39" s="24"/>
      <c r="U39" s="14" t="s">
        <v>119</v>
      </c>
      <c r="V39">
        <f>V33*(V33+1)/2</f>
        <v>0</v>
      </c>
      <c r="AA39" s="25"/>
    </row>
    <row r="40" spans="1:36" x14ac:dyDescent="0.25">
      <c r="A40" s="1"/>
      <c r="C40" s="14" t="s">
        <v>57</v>
      </c>
      <c r="D40" s="33">
        <f>C26/(G8*G9)</f>
        <v>600</v>
      </c>
      <c r="E40" t="s">
        <v>20</v>
      </c>
      <c r="K40" s="2"/>
      <c r="T40" s="24"/>
      <c r="U40" s="14" t="s">
        <v>120</v>
      </c>
      <c r="V40">
        <f>MOD(G9,2)*V33*(V33+1)/2</f>
        <v>0</v>
      </c>
      <c r="AA40" s="25"/>
    </row>
    <row r="41" spans="1:36" ht="15.75" thickBot="1" x14ac:dyDescent="0.3">
      <c r="A41" s="1"/>
      <c r="C41" s="14" t="s">
        <v>68</v>
      </c>
      <c r="D41" s="44">
        <f>(C27*10000*G26/G27)/10</f>
        <v>466.66666666666669</v>
      </c>
      <c r="E41" t="s">
        <v>20</v>
      </c>
      <c r="K41" s="2"/>
      <c r="T41" s="26"/>
      <c r="U41" s="30" t="s">
        <v>121</v>
      </c>
      <c r="V41" s="27">
        <f>V34*(SUM(V35:V40))</f>
        <v>0</v>
      </c>
      <c r="W41" s="27"/>
      <c r="X41" s="27"/>
      <c r="Y41" s="27"/>
      <c r="Z41" s="27"/>
      <c r="AA41" s="21"/>
    </row>
    <row r="42" spans="1:36" x14ac:dyDescent="0.25">
      <c r="A42" s="1"/>
      <c r="C42" s="50" t="s">
        <v>127</v>
      </c>
      <c r="D42" s="51">
        <f>D40+D41</f>
        <v>1066.6666666666667</v>
      </c>
      <c r="E42" s="17" t="s">
        <v>20</v>
      </c>
      <c r="K42" s="2"/>
    </row>
    <row r="43" spans="1:36" ht="15.75" thickBot="1" x14ac:dyDescent="0.3">
      <c r="A43" s="1"/>
      <c r="K43" s="2"/>
    </row>
    <row r="44" spans="1:36" ht="15.75" thickBot="1" x14ac:dyDescent="0.3">
      <c r="A44" s="1"/>
      <c r="K44" s="2"/>
      <c r="T44" s="34" t="s">
        <v>112</v>
      </c>
      <c r="U44" s="19"/>
      <c r="V44" s="19"/>
      <c r="W44" s="19"/>
      <c r="X44" s="19"/>
      <c r="Y44" s="19"/>
      <c r="Z44" s="19"/>
      <c r="AA44" s="20"/>
    </row>
    <row r="45" spans="1:36" ht="15.75" thickBot="1" x14ac:dyDescent="0.3">
      <c r="A45" s="1"/>
      <c r="B45" s="84" t="s">
        <v>129</v>
      </c>
      <c r="C45" s="85"/>
      <c r="D45" s="85"/>
      <c r="E45" s="85"/>
      <c r="F45" s="85"/>
      <c r="G45" s="85"/>
      <c r="H45" s="85"/>
      <c r="I45" s="86"/>
      <c r="K45" s="2"/>
      <c r="T45" s="24"/>
      <c r="AA45" s="25"/>
    </row>
    <row r="46" spans="1:36" x14ac:dyDescent="0.25">
      <c r="A46" s="1"/>
      <c r="K46" s="2"/>
      <c r="T46" s="24"/>
      <c r="AA46" s="25"/>
    </row>
    <row r="47" spans="1:36" x14ac:dyDescent="0.25">
      <c r="A47" s="1"/>
      <c r="B47" t="s">
        <v>217</v>
      </c>
      <c r="K47" s="2"/>
      <c r="T47" s="24"/>
      <c r="AA47" s="25"/>
    </row>
    <row r="48" spans="1:36" x14ac:dyDescent="0.25">
      <c r="A48" s="1"/>
      <c r="B48" t="s">
        <v>218</v>
      </c>
      <c r="K48" s="2"/>
      <c r="T48" s="24"/>
      <c r="AA48" s="25"/>
    </row>
    <row r="49" spans="1:27" x14ac:dyDescent="0.25">
      <c r="A49" s="1"/>
      <c r="K49" s="2"/>
      <c r="N49" t="s">
        <v>221</v>
      </c>
      <c r="T49" s="24"/>
      <c r="AA49" s="25"/>
    </row>
    <row r="50" spans="1:27" x14ac:dyDescent="0.25">
      <c r="A50" s="1"/>
      <c r="C50" t="s">
        <v>134</v>
      </c>
      <c r="D50" s="44">
        <f>[3]!FbRd(G10,G11,C20,C21,G14,G15,G12,G13,[3]!fub(G16),,K3)</f>
        <v>2887.1428571428573</v>
      </c>
      <c r="E50" t="s">
        <v>20</v>
      </c>
      <c r="F50" s="23" t="s">
        <v>219</v>
      </c>
      <c r="G50" s="54">
        <f>IF(G9=1,1.5*C21*G10*C20/[2]!gammaM("m2",K3)/10,"-")</f>
        <v>2910.2400000000002</v>
      </c>
      <c r="H50" t="s">
        <v>20</v>
      </c>
      <c r="K50" s="2"/>
      <c r="T50" s="24"/>
      <c r="AA50" s="25"/>
    </row>
    <row r="51" spans="1:27" x14ac:dyDescent="0.25">
      <c r="A51" s="1"/>
      <c r="C51" t="s">
        <v>220</v>
      </c>
      <c r="K51" s="2"/>
      <c r="T51" s="24"/>
      <c r="AA51" s="25"/>
    </row>
    <row r="52" spans="1:27" x14ac:dyDescent="0.25">
      <c r="A52" s="1"/>
      <c r="C52" t="s">
        <v>134</v>
      </c>
      <c r="D52" s="44">
        <f>IF(G9=1,MIN(G50,D50),D50)</f>
        <v>2887.1428571428573</v>
      </c>
      <c r="E52" t="s">
        <v>20</v>
      </c>
      <c r="K52" s="2"/>
      <c r="T52" s="24"/>
      <c r="U52" s="14" t="s">
        <v>116</v>
      </c>
      <c r="V52">
        <f>QUOTIENT(G8,2)-1</f>
        <v>0</v>
      </c>
      <c r="AA52" s="25"/>
    </row>
    <row r="53" spans="1:27" x14ac:dyDescent="0.25">
      <c r="A53" s="1"/>
      <c r="K53" s="2"/>
      <c r="T53" s="24"/>
      <c r="U53" s="14" t="s">
        <v>113</v>
      </c>
      <c r="V53">
        <f>2*G13^2*G9</f>
        <v>7200</v>
      </c>
      <c r="AA53" s="25"/>
    </row>
    <row r="54" spans="1:27" x14ac:dyDescent="0.25">
      <c r="A54" s="1"/>
      <c r="K54" s="2"/>
      <c r="T54" s="24"/>
      <c r="U54" s="14" t="s">
        <v>114</v>
      </c>
      <c r="V54">
        <f>1/4</f>
        <v>0.25</v>
      </c>
      <c r="AA54" s="25"/>
    </row>
    <row r="55" spans="1:27" x14ac:dyDescent="0.25">
      <c r="A55" s="1"/>
      <c r="K55" s="2"/>
      <c r="T55" s="24"/>
      <c r="U55" s="14" t="s">
        <v>115</v>
      </c>
      <c r="V55">
        <f>3/4*MOD(G8,2)*(1+V52)</f>
        <v>0</v>
      </c>
      <c r="AA55" s="25"/>
    </row>
    <row r="56" spans="1:27" x14ac:dyDescent="0.25">
      <c r="A56" s="1"/>
      <c r="B56" s="17" t="s">
        <v>130</v>
      </c>
      <c r="K56" s="2"/>
      <c r="T56" s="24"/>
      <c r="U56" s="14" t="s">
        <v>117</v>
      </c>
      <c r="V56">
        <f>V52/4</f>
        <v>0</v>
      </c>
      <c r="AA56" s="25"/>
    </row>
    <row r="57" spans="1:27" x14ac:dyDescent="0.25">
      <c r="A57" s="1"/>
      <c r="C57" t="s">
        <v>131</v>
      </c>
      <c r="D57" s="44">
        <f>[3]!FbRd(G10,G11,C20,C21,G12,G13,G14,G15,[3]!fub(G16),,K3)</f>
        <v>4619.4285714285716</v>
      </c>
      <c r="E57" t="s">
        <v>20</v>
      </c>
      <c r="F57" t="s">
        <v>133</v>
      </c>
      <c r="J57" s="31">
        <f>D36/D57</f>
        <v>8.6590796635329037E-2</v>
      </c>
      <c r="K57" s="2" t="b">
        <f>IF(J57&lt;1,TRUE,FALSE)</f>
        <v>1</v>
      </c>
      <c r="T57" s="24"/>
      <c r="U57" s="14" t="s">
        <v>118</v>
      </c>
      <c r="V57">
        <f>V52*(V52+1)*(2*V52+1)/6</f>
        <v>0</v>
      </c>
      <c r="AA57" s="25"/>
    </row>
    <row r="58" spans="1:27" x14ac:dyDescent="0.25">
      <c r="A58" s="1"/>
      <c r="C58" t="s">
        <v>134</v>
      </c>
      <c r="D58" s="44">
        <f>D52</f>
        <v>2887.1428571428573</v>
      </c>
      <c r="E58" t="s">
        <v>20</v>
      </c>
      <c r="F58" t="s">
        <v>135</v>
      </c>
      <c r="J58" s="31">
        <f>D42/D58</f>
        <v>0.36945406564407057</v>
      </c>
      <c r="K58" s="2" t="b">
        <f>IF(J58&lt;1,TRUE,FALSE)</f>
        <v>1</v>
      </c>
      <c r="T58" s="24"/>
      <c r="U58" s="14" t="s">
        <v>119</v>
      </c>
      <c r="V58">
        <f>V52*(V52+1)/2</f>
        <v>0</v>
      </c>
      <c r="AA58" s="25"/>
    </row>
    <row r="59" spans="1:27" x14ac:dyDescent="0.25">
      <c r="A59" s="1"/>
      <c r="C59" t="s">
        <v>137</v>
      </c>
      <c r="J59" s="31">
        <f>J57^2+J58^2</f>
        <v>0.14399427268287412</v>
      </c>
      <c r="K59" s="2" t="b">
        <f>IF(J59&lt;1,TRUE,FALSE)</f>
        <v>1</v>
      </c>
      <c r="T59" s="24"/>
      <c r="U59" s="14" t="s">
        <v>120</v>
      </c>
      <c r="V59">
        <f>MOD(G8,2)*V52*(V52+1)/2</f>
        <v>0</v>
      </c>
      <c r="AA59" s="25"/>
    </row>
    <row r="60" spans="1:27" ht="15.75" thickBot="1" x14ac:dyDescent="0.3">
      <c r="A60" s="1"/>
      <c r="K60" s="2"/>
      <c r="T60" s="26"/>
      <c r="U60" s="30" t="s">
        <v>122</v>
      </c>
      <c r="V60" s="27">
        <f>V53*SUM(V54:V59)</f>
        <v>1800</v>
      </c>
      <c r="W60" s="27"/>
      <c r="X60" s="27"/>
      <c r="Y60" s="27"/>
      <c r="Z60" s="27"/>
      <c r="AA60" s="21"/>
    </row>
    <row r="61" spans="1:27" x14ac:dyDescent="0.25">
      <c r="A61" s="40"/>
      <c r="B61" s="41"/>
      <c r="C61" s="41"/>
      <c r="D61" s="41"/>
      <c r="E61" s="41"/>
      <c r="F61" s="41"/>
      <c r="G61" s="41"/>
      <c r="H61" s="41"/>
      <c r="I61" s="41"/>
      <c r="J61" s="41"/>
      <c r="K61" s="42"/>
    </row>
  </sheetData>
  <mergeCells count="9">
    <mergeCell ref="B31:I31"/>
    <mergeCell ref="B45:I45"/>
    <mergeCell ref="A1:K2"/>
    <mergeCell ref="B6:D6"/>
    <mergeCell ref="F6:H6"/>
    <mergeCell ref="F23:I23"/>
    <mergeCell ref="B23:D23"/>
    <mergeCell ref="B12:D12"/>
    <mergeCell ref="B18:D18"/>
  </mergeCells>
  <conditionalFormatting sqref="K57:K59">
    <cfRule type="expression" dxfId="23" priority="3">
      <formula>NOT(K57)</formula>
    </cfRule>
    <cfRule type="expression" dxfId="22" priority="4">
      <formula>K57</formula>
    </cfRule>
  </conditionalFormatting>
  <conditionalFormatting sqref="F50">
    <cfRule type="expression" dxfId="21" priority="1">
      <formula>$D$50&gt;$G$50</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3C84B-3EEA-45F0-8BB3-C592BAA175E0}">
  <sheetPr codeName="Feuil6"/>
  <dimension ref="A1:AA58"/>
  <sheetViews>
    <sheetView zoomScaleNormal="100" zoomScaleSheetLayoutView="100" workbookViewId="0">
      <selection activeCell="N45" sqref="N45"/>
    </sheetView>
  </sheetViews>
  <sheetFormatPr baseColWidth="10" defaultRowHeight="15" x14ac:dyDescent="0.25"/>
  <sheetData>
    <row r="1" spans="1:11" x14ac:dyDescent="0.25">
      <c r="A1" s="78" t="s">
        <v>136</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t="s">
        <v>48</v>
      </c>
      <c r="C8">
        <f>Calcul!D31</f>
        <v>140</v>
      </c>
      <c r="D8" t="s">
        <v>14</v>
      </c>
      <c r="F8" s="14" t="s">
        <v>39</v>
      </c>
      <c r="G8" s="14">
        <f>Calcul!E5</f>
        <v>2</v>
      </c>
      <c r="K8" s="2"/>
    </row>
    <row r="9" spans="1:11" x14ac:dyDescent="0.25">
      <c r="A9" s="1"/>
      <c r="B9" s="14"/>
      <c r="F9" s="14" t="s">
        <v>106</v>
      </c>
      <c r="G9">
        <f>Calcul!E6</f>
        <v>1</v>
      </c>
      <c r="K9" s="2"/>
    </row>
    <row r="10" spans="1:11" x14ac:dyDescent="0.25">
      <c r="A10" s="1"/>
      <c r="B10" s="14" t="s">
        <v>25</v>
      </c>
      <c r="C10" s="14">
        <f>Calcul!D33</f>
        <v>4.7</v>
      </c>
      <c r="D10" t="s">
        <v>14</v>
      </c>
      <c r="F10" s="14" t="s">
        <v>132</v>
      </c>
      <c r="G10">
        <f>Calcul!E7</f>
        <v>12</v>
      </c>
      <c r="H10" t="s">
        <v>14</v>
      </c>
      <c r="K10" s="2"/>
    </row>
    <row r="11" spans="1:11" x14ac:dyDescent="0.25">
      <c r="A11" s="1"/>
      <c r="B11" s="14"/>
      <c r="F11" s="14" t="s">
        <v>30</v>
      </c>
      <c r="G11">
        <f>Calcul!E9</f>
        <v>14</v>
      </c>
      <c r="H11" t="s">
        <v>14</v>
      </c>
      <c r="K11" s="2"/>
    </row>
    <row r="12" spans="1:11" x14ac:dyDescent="0.25">
      <c r="A12" s="1"/>
      <c r="B12" s="14" t="s">
        <v>66</v>
      </c>
      <c r="C12">
        <f>Calcul!D38</f>
        <v>430</v>
      </c>
      <c r="D12" t="s">
        <v>50</v>
      </c>
      <c r="F12" s="14" t="s">
        <v>31</v>
      </c>
      <c r="G12" s="14">
        <f>Calcul!E14</f>
        <v>60</v>
      </c>
      <c r="H12" t="s">
        <v>14</v>
      </c>
      <c r="K12" s="2"/>
    </row>
    <row r="13" spans="1:11" x14ac:dyDescent="0.25">
      <c r="A13" s="1"/>
      <c r="B13" s="14"/>
      <c r="C13" s="43"/>
      <c r="F13" s="14" t="s">
        <v>40</v>
      </c>
      <c r="G13">
        <f>IF(Calcul!E6&gt;1,Calcul!I14,0)</f>
        <v>0</v>
      </c>
      <c r="H13" t="s">
        <v>14</v>
      </c>
      <c r="K13" s="2"/>
    </row>
    <row r="14" spans="1:11" x14ac:dyDescent="0.25">
      <c r="A14" s="1"/>
      <c r="B14" s="14"/>
      <c r="F14" s="14" t="s">
        <v>15</v>
      </c>
      <c r="G14" s="23" t="str">
        <f>Calcul!E8</f>
        <v>8.8</v>
      </c>
      <c r="K14" s="2"/>
    </row>
    <row r="15" spans="1:11" x14ac:dyDescent="0.25">
      <c r="A15" s="1"/>
      <c r="B15" s="14"/>
      <c r="C15" s="44"/>
      <c r="K15" s="2"/>
    </row>
    <row r="16" spans="1:11" x14ac:dyDescent="0.25">
      <c r="A16" s="1"/>
      <c r="F16" s="14" t="s">
        <v>141</v>
      </c>
      <c r="G16" t="b">
        <f>OR(AND(G10=12,G11=14),AND(G10=14,G11=16))</f>
        <v>1</v>
      </c>
      <c r="K16" s="2"/>
    </row>
    <row r="17" spans="1:27" x14ac:dyDescent="0.25">
      <c r="A17" s="1"/>
      <c r="B17" s="14"/>
      <c r="F17" s="14" t="s">
        <v>142</v>
      </c>
      <c r="G17">
        <f>Calcul!E10</f>
        <v>0</v>
      </c>
      <c r="H17" t="s">
        <v>14</v>
      </c>
      <c r="K17" s="2"/>
    </row>
    <row r="18" spans="1:27" x14ac:dyDescent="0.25">
      <c r="A18" s="1"/>
      <c r="B18" s="14"/>
      <c r="K18" s="2"/>
    </row>
    <row r="19" spans="1:27" ht="15.75" thickBot="1" x14ac:dyDescent="0.3">
      <c r="A19" s="1"/>
      <c r="K19" s="2"/>
    </row>
    <row r="20" spans="1:27" ht="15.75" thickBot="1" x14ac:dyDescent="0.3">
      <c r="A20" s="1"/>
      <c r="B20" s="84" t="s">
        <v>52</v>
      </c>
      <c r="C20" s="85"/>
      <c r="D20" s="86"/>
      <c r="F20" s="84" t="s">
        <v>107</v>
      </c>
      <c r="G20" s="85"/>
      <c r="H20" s="85"/>
      <c r="I20" s="86"/>
      <c r="K20" s="2"/>
    </row>
    <row r="21" spans="1:27" ht="15.75" thickBot="1" x14ac:dyDescent="0.3">
      <c r="A21" s="1"/>
      <c r="K21" s="2"/>
    </row>
    <row r="22" spans="1:27" x14ac:dyDescent="0.25">
      <c r="A22" s="1"/>
      <c r="B22" t="s">
        <v>54</v>
      </c>
      <c r="C22" s="33">
        <f>Calcul!F42</f>
        <v>800</v>
      </c>
      <c r="D22" t="s">
        <v>20</v>
      </c>
      <c r="F22" t="s">
        <v>108</v>
      </c>
      <c r="G22">
        <f>(0.5*G9-0.5)*G13</f>
        <v>0</v>
      </c>
      <c r="H22" t="s">
        <v>14</v>
      </c>
      <c r="K22" s="2"/>
      <c r="N22" s="34" t="s">
        <v>104</v>
      </c>
      <c r="O22" s="19"/>
      <c r="P22" s="19"/>
      <c r="Q22" s="19"/>
      <c r="R22" s="20"/>
      <c r="T22" s="34" t="s">
        <v>111</v>
      </c>
      <c r="U22" s="19"/>
      <c r="V22" s="19"/>
      <c r="W22" s="19"/>
      <c r="X22" s="19"/>
      <c r="Y22" s="19"/>
      <c r="Z22" s="19"/>
      <c r="AA22" s="20"/>
    </row>
    <row r="23" spans="1:27" x14ac:dyDescent="0.25">
      <c r="A23" s="1"/>
      <c r="B23" t="s">
        <v>53</v>
      </c>
      <c r="C23" s="33">
        <f>Calcul!F43</f>
        <v>1200</v>
      </c>
      <c r="D23" t="s">
        <v>20</v>
      </c>
      <c r="F23" t="s">
        <v>109</v>
      </c>
      <c r="G23">
        <f>(0.5*G8-0.5)*G12</f>
        <v>30</v>
      </c>
      <c r="H23" t="s">
        <v>14</v>
      </c>
      <c r="K23" s="2"/>
      <c r="N23" s="24"/>
      <c r="R23" s="25"/>
      <c r="T23" s="24"/>
      <c r="AA23" s="25"/>
    </row>
    <row r="24" spans="1:27" x14ac:dyDescent="0.25">
      <c r="A24" s="1"/>
      <c r="B24" t="s">
        <v>55</v>
      </c>
      <c r="C24">
        <f>Calcul!F47</f>
        <v>28</v>
      </c>
      <c r="D24" t="s">
        <v>26</v>
      </c>
      <c r="F24" s="45" t="s">
        <v>110</v>
      </c>
      <c r="G24">
        <f>V38+V57</f>
        <v>1800</v>
      </c>
      <c r="H24" t="s">
        <v>99</v>
      </c>
      <c r="K24" s="2"/>
      <c r="N24" s="24"/>
      <c r="R24" s="25"/>
      <c r="T24" s="24"/>
      <c r="AA24" s="25"/>
    </row>
    <row r="25" spans="1:27" x14ac:dyDescent="0.25">
      <c r="A25" s="1"/>
      <c r="K25" s="2"/>
      <c r="N25" s="35" t="s">
        <v>105</v>
      </c>
      <c r="R25" s="25"/>
      <c r="T25" s="24"/>
      <c r="AA25" s="25"/>
    </row>
    <row r="26" spans="1:27" x14ac:dyDescent="0.25">
      <c r="A26" s="1"/>
      <c r="K26" s="2"/>
      <c r="N26" s="24"/>
      <c r="R26" s="25"/>
      <c r="T26" s="24"/>
      <c r="AA26" s="25"/>
    </row>
    <row r="27" spans="1:27" ht="15.75" thickBot="1" x14ac:dyDescent="0.3">
      <c r="A27" s="1"/>
      <c r="K27" s="2"/>
      <c r="N27" s="26"/>
      <c r="O27" s="27"/>
      <c r="P27" s="27"/>
      <c r="Q27" s="27"/>
      <c r="R27" s="21"/>
      <c r="T27" s="24"/>
      <c r="AA27" s="25"/>
    </row>
    <row r="28" spans="1:27" ht="15.75" thickBot="1" x14ac:dyDescent="0.3">
      <c r="A28" s="1"/>
      <c r="B28" s="84" t="s">
        <v>128</v>
      </c>
      <c r="C28" s="85"/>
      <c r="D28" s="85"/>
      <c r="E28" s="85"/>
      <c r="F28" s="85"/>
      <c r="G28" s="85"/>
      <c r="H28" s="85"/>
      <c r="I28" s="86"/>
      <c r="K28" s="2"/>
      <c r="T28" s="24"/>
      <c r="AA28" s="25"/>
    </row>
    <row r="29" spans="1:27" x14ac:dyDescent="0.25">
      <c r="A29" s="1"/>
      <c r="K29" s="2"/>
      <c r="T29" s="24"/>
      <c r="AA29" s="25"/>
    </row>
    <row r="30" spans="1:27" x14ac:dyDescent="0.25">
      <c r="A30" s="1"/>
      <c r="B30" s="17" t="s">
        <v>124</v>
      </c>
      <c r="K30" s="2"/>
      <c r="T30" s="24"/>
      <c r="U30" s="14" t="s">
        <v>116</v>
      </c>
      <c r="V30">
        <f>QUOTIENT(G9,2)-1</f>
        <v>-1</v>
      </c>
      <c r="AA30" s="25"/>
    </row>
    <row r="31" spans="1:27" x14ac:dyDescent="0.25">
      <c r="A31" s="1"/>
      <c r="C31" s="14" t="s">
        <v>123</v>
      </c>
      <c r="D31" s="44">
        <f>C22/(G9*G8)</f>
        <v>400</v>
      </c>
      <c r="E31" t="s">
        <v>20</v>
      </c>
      <c r="K31" s="2"/>
      <c r="T31" s="24"/>
      <c r="U31" s="14" t="s">
        <v>113</v>
      </c>
      <c r="V31">
        <f>2*G13^2*G8</f>
        <v>0</v>
      </c>
      <c r="AA31" s="25"/>
    </row>
    <row r="32" spans="1:27" x14ac:dyDescent="0.25">
      <c r="A32" s="1"/>
      <c r="C32" s="14" t="s">
        <v>68</v>
      </c>
      <c r="D32" s="44">
        <f>(C24*10000*G22/G24)/10</f>
        <v>0</v>
      </c>
      <c r="E32" t="s">
        <v>20</v>
      </c>
      <c r="K32" s="2"/>
      <c r="T32" s="24"/>
      <c r="U32" s="14" t="s">
        <v>114</v>
      </c>
      <c r="V32">
        <f>1/4</f>
        <v>0.25</v>
      </c>
      <c r="AA32" s="25"/>
    </row>
    <row r="33" spans="1:27" x14ac:dyDescent="0.25">
      <c r="A33" s="1"/>
      <c r="C33" s="50" t="s">
        <v>126</v>
      </c>
      <c r="D33" s="52">
        <f>D31+D32</f>
        <v>400</v>
      </c>
      <c r="E33" s="17" t="s">
        <v>20</v>
      </c>
      <c r="K33" s="2"/>
      <c r="T33" s="24"/>
      <c r="U33" s="14" t="s">
        <v>115</v>
      </c>
      <c r="V33">
        <f>3/4*MOD(G9,2)*(1+V30)</f>
        <v>0</v>
      </c>
      <c r="AA33" s="25"/>
    </row>
    <row r="34" spans="1:27" x14ac:dyDescent="0.25">
      <c r="A34" s="1"/>
      <c r="K34" s="2"/>
      <c r="N34" s="17"/>
      <c r="T34" s="24"/>
      <c r="U34" s="14" t="s">
        <v>117</v>
      </c>
      <c r="V34">
        <f>V30/4</f>
        <v>-0.25</v>
      </c>
      <c r="AA34" s="25"/>
    </row>
    <row r="35" spans="1:27" x14ac:dyDescent="0.25">
      <c r="A35" s="1"/>
      <c r="K35" s="2"/>
      <c r="T35" s="24"/>
      <c r="U35" s="14" t="s">
        <v>118</v>
      </c>
      <c r="V35">
        <f>V30*(V30+1)*(2*V30+1)/6</f>
        <v>0</v>
      </c>
      <c r="AA35" s="25"/>
    </row>
    <row r="36" spans="1:27" x14ac:dyDescent="0.25">
      <c r="A36" s="1"/>
      <c r="B36" s="17" t="s">
        <v>125</v>
      </c>
      <c r="K36" s="2"/>
      <c r="T36" s="24"/>
      <c r="U36" s="14" t="s">
        <v>119</v>
      </c>
      <c r="V36">
        <f>V30*(V30+1)/2</f>
        <v>0</v>
      </c>
      <c r="AA36" s="25"/>
    </row>
    <row r="37" spans="1:27" x14ac:dyDescent="0.25">
      <c r="A37" s="1"/>
      <c r="C37" s="14" t="s">
        <v>57</v>
      </c>
      <c r="D37" s="33">
        <f>C23/(G8*G9)</f>
        <v>600</v>
      </c>
      <c r="E37" t="s">
        <v>20</v>
      </c>
      <c r="K37" s="2"/>
      <c r="T37" s="24"/>
      <c r="U37" s="14" t="s">
        <v>120</v>
      </c>
      <c r="V37">
        <f>MOD(G9,2)*V30*(V30+1)/2</f>
        <v>0</v>
      </c>
      <c r="AA37" s="25"/>
    </row>
    <row r="38" spans="1:27" ht="15.75" thickBot="1" x14ac:dyDescent="0.3">
      <c r="A38" s="1"/>
      <c r="C38" s="14" t="s">
        <v>68</v>
      </c>
      <c r="D38" s="44">
        <f>(C24*10000*G23/G24)/10</f>
        <v>466.66666666666669</v>
      </c>
      <c r="E38" t="s">
        <v>20</v>
      </c>
      <c r="K38" s="2"/>
      <c r="T38" s="26"/>
      <c r="U38" s="30" t="s">
        <v>121</v>
      </c>
      <c r="V38" s="27">
        <f>V31*(SUM(V32:V37))</f>
        <v>0</v>
      </c>
      <c r="W38" s="27"/>
      <c r="X38" s="27"/>
      <c r="Y38" s="27"/>
      <c r="Z38" s="27"/>
      <c r="AA38" s="21"/>
    </row>
    <row r="39" spans="1:27" x14ac:dyDescent="0.25">
      <c r="A39" s="1"/>
      <c r="C39" s="50" t="s">
        <v>127</v>
      </c>
      <c r="D39" s="51">
        <f>D37+D38</f>
        <v>1066.6666666666667</v>
      </c>
      <c r="E39" s="17" t="s">
        <v>20</v>
      </c>
      <c r="K39" s="2"/>
    </row>
    <row r="40" spans="1:27" ht="15.75" thickBot="1" x14ac:dyDescent="0.3">
      <c r="A40" s="1"/>
      <c r="K40" s="2"/>
    </row>
    <row r="41" spans="1:27" x14ac:dyDescent="0.25">
      <c r="A41" s="1"/>
      <c r="B41" s="17" t="s">
        <v>138</v>
      </c>
      <c r="C41" s="52">
        <f>SQRT(D33^2+D39^2)</f>
        <v>1139.2004993756709</v>
      </c>
      <c r="D41" s="17" t="s">
        <v>20</v>
      </c>
      <c r="K41" s="2"/>
      <c r="T41" s="34" t="s">
        <v>112</v>
      </c>
      <c r="U41" s="19"/>
      <c r="V41" s="19"/>
      <c r="W41" s="19"/>
      <c r="X41" s="19"/>
      <c r="Y41" s="19"/>
      <c r="Z41" s="19"/>
      <c r="AA41" s="20"/>
    </row>
    <row r="42" spans="1:27" ht="15.75" thickBot="1" x14ac:dyDescent="0.3">
      <c r="A42" s="1"/>
      <c r="K42" s="2"/>
      <c r="T42" s="24"/>
      <c r="AA42" s="25"/>
    </row>
    <row r="43" spans="1:27" ht="15.75" thickBot="1" x14ac:dyDescent="0.3">
      <c r="A43" s="1"/>
      <c r="B43" s="84" t="s">
        <v>208</v>
      </c>
      <c r="C43" s="85"/>
      <c r="D43" s="85"/>
      <c r="E43" s="85"/>
      <c r="F43" s="85"/>
      <c r="G43" s="85"/>
      <c r="H43" s="85"/>
      <c r="I43" s="86"/>
      <c r="K43" s="2"/>
      <c r="T43" s="24"/>
      <c r="AA43" s="25"/>
    </row>
    <row r="44" spans="1:27" x14ac:dyDescent="0.25">
      <c r="A44" s="1"/>
      <c r="K44" s="2"/>
      <c r="T44" s="24"/>
      <c r="AA44" s="25"/>
    </row>
    <row r="45" spans="1:27" x14ac:dyDescent="0.25">
      <c r="A45" s="1"/>
      <c r="B45" s="17" t="s">
        <v>130</v>
      </c>
      <c r="K45" s="2"/>
      <c r="T45" s="24"/>
      <c r="AA45" s="25"/>
    </row>
    <row r="46" spans="1:27" x14ac:dyDescent="0.25">
      <c r="A46" s="1"/>
      <c r="C46" t="s">
        <v>139</v>
      </c>
      <c r="D46" s="44">
        <f>[3]!FvrdBoulon(G10,G14,G16,G17,TRUE,K3)</f>
        <v>2751.5519999999997</v>
      </c>
      <c r="E46" t="s">
        <v>20</v>
      </c>
      <c r="F46" t="s">
        <v>140</v>
      </c>
      <c r="J46" s="31">
        <f>C41/D46</f>
        <v>0.41402106860988674</v>
      </c>
      <c r="K46" s="2" t="b">
        <f>IF(J46&lt;1,TRUE,FALSE)</f>
        <v>1</v>
      </c>
      <c r="T46" s="24"/>
      <c r="AA46" s="25"/>
    </row>
    <row r="47" spans="1:27" x14ac:dyDescent="0.25">
      <c r="A47" s="1"/>
      <c r="D47" s="44"/>
      <c r="J47" s="31"/>
      <c r="K47" s="2"/>
      <c r="T47" s="24"/>
      <c r="AA47" s="25"/>
    </row>
    <row r="48" spans="1:27" x14ac:dyDescent="0.25">
      <c r="A48" s="1"/>
      <c r="K48" s="2"/>
      <c r="T48" s="24"/>
      <c r="AA48" s="25"/>
    </row>
    <row r="49" spans="1:27" x14ac:dyDescent="0.25">
      <c r="A49" s="1"/>
      <c r="K49" s="2"/>
      <c r="T49" s="24"/>
      <c r="U49" s="14" t="s">
        <v>116</v>
      </c>
      <c r="V49">
        <f>QUOTIENT(G8,2)-1</f>
        <v>0</v>
      </c>
      <c r="AA49" s="25"/>
    </row>
    <row r="50" spans="1:27" x14ac:dyDescent="0.25">
      <c r="A50" s="1"/>
      <c r="K50" s="2"/>
      <c r="T50" s="24"/>
      <c r="U50" s="14" t="s">
        <v>113</v>
      </c>
      <c r="V50">
        <f>2*G12^2*G9</f>
        <v>7200</v>
      </c>
      <c r="AA50" s="25"/>
    </row>
    <row r="51" spans="1:27" x14ac:dyDescent="0.25">
      <c r="A51" s="1"/>
      <c r="K51" s="2"/>
      <c r="T51" s="24"/>
      <c r="U51" s="14" t="s">
        <v>114</v>
      </c>
      <c r="V51">
        <f>1/4</f>
        <v>0.25</v>
      </c>
      <c r="AA51" s="25"/>
    </row>
    <row r="52" spans="1:27" x14ac:dyDescent="0.25">
      <c r="A52" s="1"/>
      <c r="K52" s="2"/>
      <c r="T52" s="24"/>
      <c r="U52" s="14" t="s">
        <v>115</v>
      </c>
      <c r="V52">
        <f>3/4*MOD(G8,2)*(1+V49)</f>
        <v>0</v>
      </c>
      <c r="AA52" s="25"/>
    </row>
    <row r="53" spans="1:27" x14ac:dyDescent="0.25">
      <c r="A53" s="1"/>
      <c r="K53" s="2"/>
      <c r="T53" s="24"/>
      <c r="U53" s="14" t="s">
        <v>117</v>
      </c>
      <c r="V53">
        <f>V49/4</f>
        <v>0</v>
      </c>
      <c r="AA53" s="25"/>
    </row>
    <row r="54" spans="1:27" x14ac:dyDescent="0.25">
      <c r="A54" s="1"/>
      <c r="K54" s="2"/>
      <c r="T54" s="24"/>
      <c r="U54" s="14" t="s">
        <v>118</v>
      </c>
      <c r="V54">
        <f>V49*(V49+1)*(2*V49+1)/6</f>
        <v>0</v>
      </c>
      <c r="AA54" s="25"/>
    </row>
    <row r="55" spans="1:27" x14ac:dyDescent="0.25">
      <c r="A55" s="1"/>
      <c r="K55" s="2"/>
      <c r="T55" s="24"/>
      <c r="U55" s="14" t="s">
        <v>119</v>
      </c>
      <c r="V55">
        <f>V49*(V49+1)/2</f>
        <v>0</v>
      </c>
      <c r="AA55" s="25"/>
    </row>
    <row r="56" spans="1:27" x14ac:dyDescent="0.25">
      <c r="A56" s="1"/>
      <c r="K56" s="2"/>
      <c r="T56" s="24"/>
      <c r="U56" s="14" t="s">
        <v>120</v>
      </c>
      <c r="V56">
        <f>MOD(G8,2)*V49*(V49+1)/2</f>
        <v>0</v>
      </c>
      <c r="AA56" s="25"/>
    </row>
    <row r="57" spans="1:27" ht="15.75" thickBot="1" x14ac:dyDescent="0.3">
      <c r="A57" s="1"/>
      <c r="K57" s="2"/>
      <c r="T57" s="26"/>
      <c r="U57" s="30" t="s">
        <v>122</v>
      </c>
      <c r="V57" s="27">
        <f>V50*SUM(V51:V56)</f>
        <v>1800</v>
      </c>
      <c r="W57" s="27"/>
      <c r="X57" s="27"/>
      <c r="Y57" s="27"/>
      <c r="Z57" s="27"/>
      <c r="AA57" s="21"/>
    </row>
    <row r="58" spans="1:27" x14ac:dyDescent="0.25">
      <c r="A58" s="40"/>
      <c r="B58" s="41"/>
      <c r="C58" s="41"/>
      <c r="D58" s="41"/>
      <c r="E58" s="41"/>
      <c r="F58" s="41"/>
      <c r="G58" s="41"/>
      <c r="H58" s="41"/>
      <c r="I58" s="41"/>
      <c r="J58" s="41"/>
      <c r="K58" s="42"/>
    </row>
  </sheetData>
  <mergeCells count="7">
    <mergeCell ref="B43:I43"/>
    <mergeCell ref="A1:K2"/>
    <mergeCell ref="B6:D6"/>
    <mergeCell ref="F6:H6"/>
    <mergeCell ref="B20:D20"/>
    <mergeCell ref="F20:I20"/>
    <mergeCell ref="B28:I28"/>
  </mergeCells>
  <conditionalFormatting sqref="K46">
    <cfRule type="expression" dxfId="20" priority="1">
      <formula>NOT(K46)</formula>
    </cfRule>
    <cfRule type="expression" dxfId="19" priority="2">
      <formula>K46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211A0-AB42-4BD1-8A4C-1CB0B04B952F}">
  <sheetPr codeName="Feuil7"/>
  <dimension ref="A1:AB62"/>
  <sheetViews>
    <sheetView topLeftCell="A36" zoomScaleNormal="100" workbookViewId="0">
      <selection activeCell="R16" sqref="R16"/>
    </sheetView>
  </sheetViews>
  <sheetFormatPr baseColWidth="10" defaultRowHeight="15" x14ac:dyDescent="0.25"/>
  <sheetData>
    <row r="1" spans="1:28" x14ac:dyDescent="0.25">
      <c r="A1" s="78" t="s">
        <v>188</v>
      </c>
      <c r="B1" s="79"/>
      <c r="C1" s="79"/>
      <c r="D1" s="79"/>
      <c r="E1" s="79"/>
      <c r="F1" s="79"/>
      <c r="G1" s="79"/>
      <c r="H1" s="79"/>
      <c r="I1" s="79"/>
      <c r="J1" s="79"/>
      <c r="K1" s="80"/>
    </row>
    <row r="2" spans="1:28" x14ac:dyDescent="0.25">
      <c r="A2" s="81"/>
      <c r="B2" s="82"/>
      <c r="C2" s="82"/>
      <c r="D2" s="82"/>
      <c r="E2" s="82"/>
      <c r="F2" s="82"/>
      <c r="G2" s="82"/>
      <c r="H2" s="82"/>
      <c r="I2" s="82"/>
      <c r="J2" s="82"/>
      <c r="K2" s="83"/>
    </row>
    <row r="3" spans="1:28" ht="15.75" thickBot="1" x14ac:dyDescent="0.3">
      <c r="A3" s="1"/>
      <c r="J3" s="14" t="s">
        <v>65</v>
      </c>
      <c r="K3" s="2" t="str">
        <f>Calcul!J5</f>
        <v>NF</v>
      </c>
      <c r="T3" t="s">
        <v>87</v>
      </c>
    </row>
    <row r="4" spans="1:28" x14ac:dyDescent="0.25">
      <c r="A4" s="1" t="s">
        <v>29</v>
      </c>
      <c r="K4" s="2"/>
      <c r="T4" s="18"/>
      <c r="U4" s="19"/>
      <c r="V4" s="19"/>
      <c r="W4" s="19"/>
      <c r="X4" s="19"/>
      <c r="Y4" s="19"/>
      <c r="Z4" s="19"/>
      <c r="AA4" s="19"/>
      <c r="AB4" s="20"/>
    </row>
    <row r="5" spans="1:28" ht="15.75" thickBot="1" x14ac:dyDescent="0.3">
      <c r="A5" s="1"/>
      <c r="K5" s="2"/>
      <c r="T5" s="24"/>
      <c r="U5" t="s">
        <v>33</v>
      </c>
      <c r="AB5" s="25"/>
    </row>
    <row r="6" spans="1:28" ht="15.75" thickBot="1" x14ac:dyDescent="0.3">
      <c r="A6" s="1"/>
      <c r="B6" s="84" t="s">
        <v>143</v>
      </c>
      <c r="C6" s="85"/>
      <c r="D6" s="86"/>
      <c r="F6" s="84" t="s">
        <v>59</v>
      </c>
      <c r="G6" s="85"/>
      <c r="H6" s="86"/>
      <c r="K6" s="2"/>
      <c r="T6" s="24"/>
      <c r="AB6" s="25"/>
    </row>
    <row r="7" spans="1:28" x14ac:dyDescent="0.25">
      <c r="A7" s="1"/>
      <c r="K7" s="2"/>
      <c r="T7" s="24"/>
      <c r="U7" t="s">
        <v>34</v>
      </c>
      <c r="AB7" s="25"/>
    </row>
    <row r="8" spans="1:28" x14ac:dyDescent="0.25">
      <c r="A8" s="1"/>
      <c r="B8" s="14" t="s">
        <v>48</v>
      </c>
      <c r="C8">
        <f>2*G10+G11*(G8-1)</f>
        <v>110</v>
      </c>
      <c r="D8" t="s">
        <v>14</v>
      </c>
      <c r="F8" s="14" t="s">
        <v>39</v>
      </c>
      <c r="G8" s="14">
        <f>Calcul!E5</f>
        <v>2</v>
      </c>
      <c r="K8" s="2"/>
      <c r="T8" s="24"/>
      <c r="AB8" s="25"/>
    </row>
    <row r="9" spans="1:28" x14ac:dyDescent="0.25">
      <c r="A9" s="1"/>
      <c r="B9" s="14"/>
      <c r="F9" s="14" t="s">
        <v>30</v>
      </c>
      <c r="G9" s="14">
        <f>Calcul!E9</f>
        <v>14</v>
      </c>
      <c r="H9" t="s">
        <v>14</v>
      </c>
      <c r="K9" s="2"/>
      <c r="T9" s="24"/>
      <c r="V9" t="s">
        <v>33</v>
      </c>
      <c r="AB9" s="25"/>
    </row>
    <row r="10" spans="1:28" x14ac:dyDescent="0.25">
      <c r="A10" s="1"/>
      <c r="B10" s="14" t="s">
        <v>144</v>
      </c>
      <c r="C10" s="14">
        <f>Calcul!I30</f>
        <v>8</v>
      </c>
      <c r="D10" t="s">
        <v>14</v>
      </c>
      <c r="F10" s="14" t="s">
        <v>93</v>
      </c>
      <c r="G10">
        <f>Calcul!E13</f>
        <v>25</v>
      </c>
      <c r="H10" t="s">
        <v>14</v>
      </c>
      <c r="K10" s="2"/>
      <c r="T10" s="24"/>
      <c r="AB10" s="25"/>
    </row>
    <row r="11" spans="1:28" ht="15.75" thickBot="1" x14ac:dyDescent="0.3">
      <c r="A11" s="1"/>
      <c r="B11" s="14"/>
      <c r="F11" s="14" t="s">
        <v>31</v>
      </c>
      <c r="G11" s="14">
        <f>Calcul!E14</f>
        <v>60</v>
      </c>
      <c r="H11" t="s">
        <v>14</v>
      </c>
      <c r="K11" s="2"/>
      <c r="T11" s="24"/>
      <c r="V11" t="s">
        <v>34</v>
      </c>
      <c r="AB11" s="25"/>
    </row>
    <row r="12" spans="1:28" x14ac:dyDescent="0.25">
      <c r="A12" s="1"/>
      <c r="B12" s="14" t="s">
        <v>60</v>
      </c>
      <c r="C12">
        <f>C8*C10*0.01</f>
        <v>8.8000000000000007</v>
      </c>
      <c r="D12" t="s">
        <v>61</v>
      </c>
      <c r="E12" t="s">
        <v>223</v>
      </c>
      <c r="K12" s="2"/>
      <c r="M12" s="18"/>
      <c r="N12" s="19"/>
      <c r="O12" s="20"/>
      <c r="T12" s="24"/>
      <c r="AB12" s="25"/>
    </row>
    <row r="13" spans="1:28" x14ac:dyDescent="0.25">
      <c r="A13" s="1"/>
      <c r="B13" s="14" t="s">
        <v>62</v>
      </c>
      <c r="C13" s="43">
        <f>C12-N13</f>
        <v>6.5600000000000005</v>
      </c>
      <c r="D13" t="s">
        <v>61</v>
      </c>
      <c r="K13" s="2"/>
      <c r="M13" s="24" t="s">
        <v>64</v>
      </c>
      <c r="N13">
        <f>G8*G9*C10*0.01</f>
        <v>2.2400000000000002</v>
      </c>
      <c r="O13" s="25" t="s">
        <v>61</v>
      </c>
      <c r="T13" s="24"/>
      <c r="V13" t="s">
        <v>35</v>
      </c>
      <c r="AB13" s="25"/>
    </row>
    <row r="14" spans="1:28" ht="15.75" thickBot="1" x14ac:dyDescent="0.3">
      <c r="A14" s="1"/>
      <c r="B14" s="14" t="s">
        <v>145</v>
      </c>
      <c r="C14" s="44">
        <f>C10*C8^3/12*0.0001</f>
        <v>88.733333333333348</v>
      </c>
      <c r="D14" t="s">
        <v>42</v>
      </c>
      <c r="K14" s="2"/>
      <c r="M14" s="26"/>
      <c r="N14" s="27"/>
      <c r="O14" s="21"/>
      <c r="T14" s="24"/>
      <c r="AB14" s="25"/>
    </row>
    <row r="15" spans="1:28" x14ac:dyDescent="0.25">
      <c r="A15" s="1"/>
      <c r="B15" s="14" t="s">
        <v>146</v>
      </c>
      <c r="C15" s="44">
        <f>C14-N19</f>
        <v>68.207466666666676</v>
      </c>
      <c r="D15" t="s">
        <v>42</v>
      </c>
      <c r="K15" s="2"/>
      <c r="T15" s="24"/>
      <c r="V15" t="s">
        <v>36</v>
      </c>
      <c r="AB15" s="25"/>
    </row>
    <row r="16" spans="1:28" x14ac:dyDescent="0.25">
      <c r="A16" s="1"/>
      <c r="B16" s="14" t="s">
        <v>46</v>
      </c>
      <c r="C16" s="44">
        <f>C15*10000/(C8/2)*0.001</f>
        <v>12.401357575757576</v>
      </c>
      <c r="D16" t="s">
        <v>47</v>
      </c>
      <c r="K16" s="2"/>
      <c r="T16" s="24"/>
      <c r="AB16" s="25"/>
    </row>
    <row r="17" spans="1:28" x14ac:dyDescent="0.25">
      <c r="A17" s="1"/>
      <c r="B17" s="14" t="s">
        <v>49</v>
      </c>
      <c r="C17">
        <f>Calcul!I31</f>
        <v>235</v>
      </c>
      <c r="D17" t="s">
        <v>50</v>
      </c>
      <c r="K17" s="2"/>
      <c r="T17" s="24"/>
      <c r="V17" t="s">
        <v>43</v>
      </c>
      <c r="AB17" s="25"/>
    </row>
    <row r="18" spans="1:28" ht="15.75" thickBot="1" x14ac:dyDescent="0.3">
      <c r="A18" s="1"/>
      <c r="B18" s="14" t="s">
        <v>66</v>
      </c>
      <c r="C18">
        <f>Calcul!I32</f>
        <v>360</v>
      </c>
      <c r="D18" t="s">
        <v>50</v>
      </c>
      <c r="K18" s="2"/>
      <c r="T18" s="24"/>
      <c r="AB18" s="25"/>
    </row>
    <row r="19" spans="1:28" ht="15.75" thickBot="1" x14ac:dyDescent="0.3">
      <c r="A19" s="1"/>
      <c r="K19" s="2"/>
      <c r="M19" s="18" t="s">
        <v>63</v>
      </c>
      <c r="N19" s="29">
        <f>(O21+O22)*0.0001</f>
        <v>20.525866666666666</v>
      </c>
      <c r="O19" s="19" t="s">
        <v>42</v>
      </c>
      <c r="P19" s="20"/>
      <c r="T19" s="24"/>
      <c r="V19" t="s">
        <v>38</v>
      </c>
      <c r="AB19" s="25"/>
    </row>
    <row r="20" spans="1:28" ht="15.75" thickBot="1" x14ac:dyDescent="0.3">
      <c r="A20" s="1"/>
      <c r="B20" s="84" t="s">
        <v>52</v>
      </c>
      <c r="C20" s="85"/>
      <c r="D20" s="86"/>
      <c r="K20" s="2"/>
      <c r="M20" s="24"/>
      <c r="N20" s="14" t="s">
        <v>32</v>
      </c>
      <c r="O20" s="14">
        <f>QUOTIENT(G8,2)-1</f>
        <v>0</v>
      </c>
      <c r="P20" s="25"/>
      <c r="T20" s="24"/>
      <c r="AB20" s="25"/>
    </row>
    <row r="21" spans="1:28" x14ac:dyDescent="0.25">
      <c r="A21" s="1"/>
      <c r="K21" s="2"/>
      <c r="M21" s="24"/>
      <c r="N21" s="14" t="s">
        <v>33</v>
      </c>
      <c r="O21">
        <f>G8*C10*G9^3/12</f>
        <v>3658.6666666666665</v>
      </c>
      <c r="P21" s="25"/>
      <c r="T21" s="24"/>
      <c r="AB21" s="25"/>
    </row>
    <row r="22" spans="1:28" x14ac:dyDescent="0.25">
      <c r="A22" s="1"/>
      <c r="B22" t="s">
        <v>54</v>
      </c>
      <c r="C22">
        <f>Calcul!F42</f>
        <v>800</v>
      </c>
      <c r="D22" t="s">
        <v>20</v>
      </c>
      <c r="K22" s="2"/>
      <c r="M22" s="24"/>
      <c r="N22" s="14" t="s">
        <v>34</v>
      </c>
      <c r="O22">
        <f>2*C10*G9*G11^2*SUM(P23:P28)</f>
        <v>201600</v>
      </c>
      <c r="P22" s="25"/>
      <c r="T22" s="24"/>
      <c r="W22" t="s">
        <v>32</v>
      </c>
      <c r="AB22" s="25"/>
    </row>
    <row r="23" spans="1:28" ht="15.75" thickBot="1" x14ac:dyDescent="0.3">
      <c r="A23" s="1"/>
      <c r="B23" t="s">
        <v>53</v>
      </c>
      <c r="C23">
        <f>Calcul!F43</f>
        <v>1200</v>
      </c>
      <c r="D23" t="s">
        <v>20</v>
      </c>
      <c r="K23" s="2"/>
      <c r="M23" s="24"/>
      <c r="O23" s="14" t="s">
        <v>33</v>
      </c>
      <c r="P23" s="25">
        <f>1/4</f>
        <v>0.25</v>
      </c>
      <c r="T23" s="26"/>
      <c r="U23" s="27"/>
      <c r="V23" s="27"/>
      <c r="W23" s="27"/>
      <c r="X23" s="27"/>
      <c r="Y23" s="27"/>
      <c r="Z23" s="27"/>
      <c r="AA23" s="27"/>
      <c r="AB23" s="21"/>
    </row>
    <row r="24" spans="1:28" x14ac:dyDescent="0.25">
      <c r="A24" s="1"/>
      <c r="B24" t="s">
        <v>55</v>
      </c>
      <c r="C24">
        <f>Calcul!F47</f>
        <v>28</v>
      </c>
      <c r="D24" t="s">
        <v>26</v>
      </c>
      <c r="K24" s="2"/>
      <c r="M24" s="24"/>
      <c r="O24" s="14" t="s">
        <v>34</v>
      </c>
      <c r="P24" s="25">
        <f>3/4*MOD(G8,2)*(1+O20)</f>
        <v>0</v>
      </c>
      <c r="T24" s="18"/>
      <c r="V24" s="19"/>
      <c r="W24" s="19"/>
      <c r="X24" s="19"/>
      <c r="Y24" s="19"/>
      <c r="Z24" s="19"/>
      <c r="AA24" s="19"/>
      <c r="AB24" s="20"/>
    </row>
    <row r="25" spans="1:28" x14ac:dyDescent="0.25">
      <c r="A25" s="1"/>
      <c r="K25" s="2"/>
      <c r="M25" s="24"/>
      <c r="O25" s="14" t="s">
        <v>35</v>
      </c>
      <c r="P25" s="25">
        <f>O20/4</f>
        <v>0</v>
      </c>
      <c r="T25" s="24"/>
      <c r="AB25" s="25"/>
    </row>
    <row r="26" spans="1:28" x14ac:dyDescent="0.25">
      <c r="A26" s="1"/>
      <c r="K26" s="2"/>
      <c r="M26" s="24"/>
      <c r="O26" s="14" t="s">
        <v>36</v>
      </c>
      <c r="P26" s="25">
        <f>O20*(O20+1)*(2*O20+1)/6</f>
        <v>0</v>
      </c>
      <c r="T26" s="24"/>
      <c r="AB26" s="25"/>
    </row>
    <row r="27" spans="1:28" x14ac:dyDescent="0.25">
      <c r="A27" s="1"/>
      <c r="K27" s="2"/>
      <c r="M27" s="24"/>
      <c r="O27" s="14" t="s">
        <v>37</v>
      </c>
      <c r="P27" s="25">
        <f>O20*(O20+1)/2</f>
        <v>0</v>
      </c>
      <c r="T27" s="24"/>
      <c r="AB27" s="25"/>
    </row>
    <row r="28" spans="1:28" ht="15.75" thickBot="1" x14ac:dyDescent="0.3">
      <c r="A28" s="1"/>
      <c r="K28" s="2"/>
      <c r="M28" s="26"/>
      <c r="N28" s="27"/>
      <c r="O28" s="30" t="s">
        <v>38</v>
      </c>
      <c r="P28" s="21">
        <f>MOD(G8,2)*O20*(O20+1)/2</f>
        <v>0</v>
      </c>
      <c r="T28" s="24"/>
      <c r="AB28" s="25"/>
    </row>
    <row r="29" spans="1:28" ht="15.75" thickBot="1" x14ac:dyDescent="0.3">
      <c r="A29" s="1"/>
      <c r="B29" s="84" t="s">
        <v>56</v>
      </c>
      <c r="C29" s="85"/>
      <c r="D29" s="86"/>
      <c r="K29" s="2"/>
      <c r="T29" s="26"/>
      <c r="U29" s="27"/>
      <c r="V29" s="27"/>
      <c r="W29" s="27"/>
      <c r="X29" s="27"/>
      <c r="Y29" s="27"/>
      <c r="Z29" s="27"/>
      <c r="AA29" s="27"/>
      <c r="AB29" s="21"/>
    </row>
    <row r="30" spans="1:28" x14ac:dyDescent="0.25">
      <c r="A30" s="1"/>
      <c r="K30" s="2"/>
    </row>
    <row r="31" spans="1:28" x14ac:dyDescent="0.25">
      <c r="A31" s="1"/>
      <c r="B31" s="17" t="s">
        <v>57</v>
      </c>
      <c r="K31" s="2"/>
    </row>
    <row r="32" spans="1:28" x14ac:dyDescent="0.25">
      <c r="A32" s="1"/>
      <c r="C32" s="45" t="s">
        <v>69</v>
      </c>
      <c r="D32" s="43">
        <f>C23*10/(C12*100)</f>
        <v>13.636363636363635</v>
      </c>
      <c r="E32" t="s">
        <v>50</v>
      </c>
      <c r="J32" s="31">
        <f>D32/($C$17/[2]!gammaM("m0",$K$3))</f>
        <v>5.8027079303675039E-2</v>
      </c>
      <c r="K32" s="2" t="b">
        <f>IF(J32&lt;1,TRUE,FALSE)</f>
        <v>1</v>
      </c>
    </row>
    <row r="33" spans="1:13" x14ac:dyDescent="0.25">
      <c r="A33" s="1"/>
      <c r="C33" s="45" t="s">
        <v>70</v>
      </c>
      <c r="D33" s="43">
        <f>C23*10*C17*[2]!gammaM("m2",K3)/(0.9*C13*100*C18)</f>
        <v>16.58480126467931</v>
      </c>
      <c r="E33" t="s">
        <v>50</v>
      </c>
      <c r="J33" s="31">
        <f>D33/($C$17/[2]!gammaM("m0",$K$3))</f>
        <v>7.0573622402890682E-2</v>
      </c>
      <c r="K33" s="2" t="b">
        <f>IF(J33&lt;1,TRUE,FALSE)</f>
        <v>1</v>
      </c>
    </row>
    <row r="34" spans="1:13" x14ac:dyDescent="0.25">
      <c r="A34" s="1"/>
      <c r="J34" s="31"/>
      <c r="K34" s="2"/>
    </row>
    <row r="35" spans="1:13" x14ac:dyDescent="0.25">
      <c r="A35" s="1"/>
      <c r="B35" s="46" t="s">
        <v>67</v>
      </c>
      <c r="C35" s="47">
        <f>MAX(D32:D33)</f>
        <v>16.58480126467931</v>
      </c>
      <c r="D35" s="13" t="s">
        <v>50</v>
      </c>
      <c r="J35" s="31"/>
      <c r="K35" s="2"/>
    </row>
    <row r="36" spans="1:13" x14ac:dyDescent="0.25">
      <c r="A36" s="1"/>
      <c r="J36" s="31"/>
      <c r="K36" s="2"/>
    </row>
    <row r="37" spans="1:13" x14ac:dyDescent="0.25">
      <c r="A37" s="1"/>
      <c r="J37" s="31"/>
      <c r="K37" s="2"/>
    </row>
    <row r="38" spans="1:13" x14ac:dyDescent="0.25">
      <c r="A38" s="1"/>
      <c r="B38" s="17" t="s">
        <v>68</v>
      </c>
      <c r="J38" s="31"/>
      <c r="K38" s="2"/>
    </row>
    <row r="39" spans="1:13" x14ac:dyDescent="0.25">
      <c r="A39" s="1"/>
      <c r="J39" s="31"/>
      <c r="K39" s="2"/>
    </row>
    <row r="40" spans="1:13" x14ac:dyDescent="0.25">
      <c r="A40" s="1"/>
      <c r="B40" s="46" t="s">
        <v>72</v>
      </c>
      <c r="C40" s="47">
        <f>C24*10000/(C16*1000)</f>
        <v>22.578173259623579</v>
      </c>
      <c r="D40" s="13" t="s">
        <v>50</v>
      </c>
      <c r="J40" s="31">
        <f>C40/($C$17/[2]!gammaM("m0",$K$3))</f>
        <v>9.6077333019674804E-2</v>
      </c>
      <c r="K40" s="2" t="b">
        <f>IF(J40&lt;1,TRUE,FALSE)</f>
        <v>1</v>
      </c>
    </row>
    <row r="41" spans="1:13" x14ac:dyDescent="0.25">
      <c r="A41" s="1"/>
      <c r="C41" s="23"/>
      <c r="J41" s="31"/>
      <c r="K41" s="2"/>
    </row>
    <row r="42" spans="1:13" x14ac:dyDescent="0.25">
      <c r="A42" s="1"/>
      <c r="C42" s="23"/>
      <c r="J42" s="31"/>
      <c r="K42" s="2"/>
    </row>
    <row r="43" spans="1:13" x14ac:dyDescent="0.25">
      <c r="A43" s="1"/>
      <c r="B43" s="46" t="s">
        <v>71</v>
      </c>
      <c r="C43" s="47">
        <f>C40+C35</f>
        <v>39.162974524302889</v>
      </c>
      <c r="D43" s="13" t="s">
        <v>50</v>
      </c>
      <c r="J43" s="31">
        <f>C43/($C$17/[2]!gammaM("m0",$K$3))</f>
        <v>0.1666509554225655</v>
      </c>
      <c r="K43" s="2" t="b">
        <f>IF(J43&lt;1,TRUE,FALSE)</f>
        <v>1</v>
      </c>
      <c r="M43" t="s">
        <v>155</v>
      </c>
    </row>
    <row r="44" spans="1:13" x14ac:dyDescent="0.25">
      <c r="A44" s="1"/>
      <c r="J44" s="31"/>
      <c r="K44" s="2"/>
    </row>
    <row r="45" spans="1:13" x14ac:dyDescent="0.25">
      <c r="A45" s="1"/>
      <c r="J45" s="31"/>
      <c r="K45" s="2"/>
    </row>
    <row r="46" spans="1:13" ht="15.75" thickBot="1" x14ac:dyDescent="0.3">
      <c r="A46" s="1"/>
      <c r="J46" s="31"/>
      <c r="K46" s="2"/>
    </row>
    <row r="47" spans="1:13" ht="15.75" thickBot="1" x14ac:dyDescent="0.3">
      <c r="A47" s="1"/>
      <c r="B47" s="84" t="s">
        <v>74</v>
      </c>
      <c r="C47" s="85"/>
      <c r="D47" s="86"/>
      <c r="J47" s="31"/>
      <c r="K47" s="2"/>
    </row>
    <row r="48" spans="1:13" x14ac:dyDescent="0.25">
      <c r="A48" s="1"/>
      <c r="J48" s="31"/>
      <c r="K48" s="2"/>
    </row>
    <row r="49" spans="1:18" x14ac:dyDescent="0.25">
      <c r="A49" s="1"/>
      <c r="J49" s="31"/>
      <c r="K49" s="2"/>
      <c r="M49" t="s">
        <v>75</v>
      </c>
    </row>
    <row r="50" spans="1:18" x14ac:dyDescent="0.25">
      <c r="A50" s="1"/>
      <c r="B50" s="46" t="s">
        <v>83</v>
      </c>
      <c r="C50" s="48">
        <f>C22*10*O50/(C15*10000*C10)</f>
        <v>13.22435862349381</v>
      </c>
      <c r="D50" s="13" t="s">
        <v>50</v>
      </c>
      <c r="J50" s="31">
        <f>C50/($C$17/(SQRT(3)*[2]!gammaM("m0",$K$3)))</f>
        <v>9.7469195886820847E-2</v>
      </c>
      <c r="K50" s="2" t="b">
        <f>IF(J50&lt;1,TRUE,FALSE)</f>
        <v>1</v>
      </c>
      <c r="N50" t="s">
        <v>156</v>
      </c>
      <c r="O50" s="33">
        <f>(C8/2-(G8/2*G9))*C10*(C8/2)/2</f>
        <v>9020</v>
      </c>
      <c r="P50" t="s">
        <v>80</v>
      </c>
      <c r="R50" t="s">
        <v>157</v>
      </c>
    </row>
    <row r="51" spans="1:18" x14ac:dyDescent="0.25">
      <c r="A51" s="1"/>
      <c r="K51" s="2"/>
    </row>
    <row r="52" spans="1:18" x14ac:dyDescent="0.25">
      <c r="A52" s="1"/>
      <c r="K52" s="2"/>
      <c r="N52" s="14"/>
      <c r="O52" s="33"/>
    </row>
    <row r="53" spans="1:18" ht="15.75" thickBot="1" x14ac:dyDescent="0.3">
      <c r="A53" s="1"/>
      <c r="K53" s="2"/>
    </row>
    <row r="54" spans="1:18" ht="15.75" thickBot="1" x14ac:dyDescent="0.3">
      <c r="A54" s="1"/>
      <c r="B54" s="84" t="s">
        <v>84</v>
      </c>
      <c r="C54" s="85"/>
      <c r="D54" s="86"/>
      <c r="K54" s="2"/>
    </row>
    <row r="55" spans="1:18" x14ac:dyDescent="0.25">
      <c r="A55" s="1"/>
      <c r="K55" s="2"/>
    </row>
    <row r="56" spans="1:18" x14ac:dyDescent="0.25">
      <c r="A56" s="1"/>
      <c r="B56" s="46" t="s">
        <v>85</v>
      </c>
      <c r="C56" s="49">
        <f>SQRT(C43^2+3*C50^2)</f>
        <v>45.36947824914369</v>
      </c>
      <c r="D56" s="13" t="s">
        <v>50</v>
      </c>
      <c r="J56" s="31">
        <f>C56/(C17*[2]!gammaM("m0",K3))</f>
        <v>0.19306160957082422</v>
      </c>
      <c r="K56" s="2" t="b">
        <f>IF(J56&lt;1,TRUE,FALSE)</f>
        <v>1</v>
      </c>
      <c r="M56" t="s">
        <v>86</v>
      </c>
    </row>
    <row r="57" spans="1:18" x14ac:dyDescent="0.25">
      <c r="A57" s="40"/>
      <c r="B57" s="41"/>
      <c r="C57" s="41"/>
      <c r="D57" s="41"/>
      <c r="E57" s="41"/>
      <c r="F57" s="41"/>
      <c r="G57" s="41"/>
      <c r="H57" s="41"/>
      <c r="I57" s="41"/>
      <c r="J57" s="41"/>
      <c r="K57" s="42"/>
    </row>
    <row r="62" spans="1:18" x14ac:dyDescent="0.25">
      <c r="M62" t="s">
        <v>187</v>
      </c>
    </row>
  </sheetData>
  <mergeCells count="7">
    <mergeCell ref="B54:D54"/>
    <mergeCell ref="A1:K2"/>
    <mergeCell ref="B6:D6"/>
    <mergeCell ref="F6:H6"/>
    <mergeCell ref="B20:D20"/>
    <mergeCell ref="B29:D29"/>
    <mergeCell ref="B47:D47"/>
  </mergeCells>
  <conditionalFormatting sqref="K40">
    <cfRule type="expression" dxfId="18" priority="9">
      <formula>NOT(K40)</formula>
    </cfRule>
    <cfRule type="expression" dxfId="17" priority="10">
      <formula>K40</formula>
    </cfRule>
  </conditionalFormatting>
  <conditionalFormatting sqref="K32:K33">
    <cfRule type="expression" dxfId="16" priority="7">
      <formula>NOT(K32)</formula>
    </cfRule>
    <cfRule type="expression" dxfId="15" priority="8">
      <formula>K32</formula>
    </cfRule>
  </conditionalFormatting>
  <conditionalFormatting sqref="K43">
    <cfRule type="expression" dxfId="14" priority="5">
      <formula>NOT(K43)</formula>
    </cfRule>
    <cfRule type="expression" dxfId="13" priority="6">
      <formula>K43</formula>
    </cfRule>
  </conditionalFormatting>
  <conditionalFormatting sqref="K50">
    <cfRule type="expression" dxfId="12" priority="3">
      <formula>NOT(K50)</formula>
    </cfRule>
    <cfRule type="expression" dxfId="11" priority="4">
      <formula>K50</formula>
    </cfRule>
  </conditionalFormatting>
  <conditionalFormatting sqref="K56">
    <cfRule type="expression" dxfId="10" priority="1">
      <formula>NOT(K56)</formula>
    </cfRule>
    <cfRule type="expression" dxfId="9" priority="2">
      <formula>K56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71CDC-E242-4C69-836F-C675A2BD1348}">
  <sheetPr codeName="Feuil8"/>
  <dimension ref="A1:K57"/>
  <sheetViews>
    <sheetView zoomScaleNormal="100" workbookViewId="0">
      <selection activeCell="I24" sqref="I24"/>
    </sheetView>
  </sheetViews>
  <sheetFormatPr baseColWidth="10" defaultRowHeight="15" x14ac:dyDescent="0.25"/>
  <sheetData>
    <row r="1" spans="1:11" x14ac:dyDescent="0.25">
      <c r="A1" s="78" t="s">
        <v>159</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t="s">
        <v>48</v>
      </c>
      <c r="C8">
        <f>2*G10+G8*G11</f>
        <v>148</v>
      </c>
      <c r="D8" t="s">
        <v>14</v>
      </c>
      <c r="F8" s="14" t="s">
        <v>39</v>
      </c>
      <c r="G8" s="14">
        <f>Calcul!E5</f>
        <v>2</v>
      </c>
      <c r="K8" s="2"/>
    </row>
    <row r="9" spans="1:11" x14ac:dyDescent="0.25">
      <c r="A9" s="1"/>
      <c r="B9" s="46"/>
      <c r="D9" s="13"/>
      <c r="F9" t="s">
        <v>96</v>
      </c>
      <c r="G9">
        <f>Calcul!E6</f>
        <v>1</v>
      </c>
      <c r="K9" s="2"/>
    </row>
    <row r="10" spans="1:11" x14ac:dyDescent="0.25">
      <c r="A10" s="1"/>
      <c r="B10" s="14" t="s">
        <v>144</v>
      </c>
      <c r="C10" s="14">
        <f>Calcul!I30</f>
        <v>8</v>
      </c>
      <c r="D10" t="s">
        <v>14</v>
      </c>
      <c r="F10" s="14" t="s">
        <v>30</v>
      </c>
      <c r="G10" s="14">
        <f>Calcul!E9</f>
        <v>14</v>
      </c>
      <c r="H10" t="s">
        <v>14</v>
      </c>
      <c r="K10" s="2"/>
    </row>
    <row r="11" spans="1:11" x14ac:dyDescent="0.25">
      <c r="A11" s="1"/>
      <c r="B11" s="46"/>
      <c r="C11" s="13"/>
      <c r="D11" s="13"/>
      <c r="F11" s="14" t="s">
        <v>31</v>
      </c>
      <c r="G11" s="14">
        <f>Calcul!E14</f>
        <v>60</v>
      </c>
      <c r="H11" t="s">
        <v>14</v>
      </c>
      <c r="K11" s="2"/>
    </row>
    <row r="12" spans="1:11" x14ac:dyDescent="0.25">
      <c r="A12" s="1"/>
      <c r="B12" s="46"/>
      <c r="C12" s="13"/>
      <c r="D12" s="13"/>
      <c r="F12" s="14" t="s">
        <v>40</v>
      </c>
      <c r="G12">
        <f>IF(Calcul!E6&gt;1,Calcul!I14,0)</f>
        <v>0</v>
      </c>
      <c r="H12" t="s">
        <v>14</v>
      </c>
      <c r="K12" s="2"/>
    </row>
    <row r="13" spans="1:11" x14ac:dyDescent="0.25">
      <c r="A13" s="1"/>
      <c r="B13" s="46"/>
      <c r="C13" s="48"/>
      <c r="D13" s="13"/>
      <c r="F13" s="14" t="s">
        <v>93</v>
      </c>
      <c r="G13">
        <f>Calcul!E13</f>
        <v>25</v>
      </c>
      <c r="H13" t="s">
        <v>14</v>
      </c>
      <c r="K13" s="2"/>
    </row>
    <row r="14" spans="1:11" x14ac:dyDescent="0.25">
      <c r="A14" s="1"/>
      <c r="B14" s="14" t="s">
        <v>49</v>
      </c>
      <c r="C14">
        <f>Calcul!I31</f>
        <v>235</v>
      </c>
      <c r="D14" t="s">
        <v>50</v>
      </c>
      <c r="F14" s="14" t="s">
        <v>95</v>
      </c>
      <c r="G14">
        <f>Calcul!E16</f>
        <v>30</v>
      </c>
      <c r="H14" t="s">
        <v>14</v>
      </c>
      <c r="K14" s="2"/>
    </row>
    <row r="15" spans="1:11" x14ac:dyDescent="0.25">
      <c r="A15" s="1"/>
      <c r="B15" s="14" t="s">
        <v>66</v>
      </c>
      <c r="C15">
        <f>Calcul!I32</f>
        <v>360</v>
      </c>
      <c r="D15" t="s">
        <v>50</v>
      </c>
      <c r="K15" s="2"/>
    </row>
    <row r="16" spans="1:11" x14ac:dyDescent="0.25">
      <c r="A16" s="1"/>
      <c r="B16" s="14"/>
      <c r="C16" s="44"/>
      <c r="K16" s="2"/>
    </row>
    <row r="17" spans="1:11" ht="15.75" thickBot="1" x14ac:dyDescent="0.3">
      <c r="A17" s="1"/>
      <c r="K17" s="2"/>
    </row>
    <row r="18" spans="1:11" ht="15.75" thickBot="1" x14ac:dyDescent="0.3">
      <c r="A18" s="1"/>
      <c r="B18" s="84" t="s">
        <v>52</v>
      </c>
      <c r="C18" s="85"/>
      <c r="D18" s="86"/>
      <c r="K18" s="2"/>
    </row>
    <row r="19" spans="1:11" x14ac:dyDescent="0.25">
      <c r="A19" s="1"/>
      <c r="K19" s="2"/>
    </row>
    <row r="20" spans="1:11" x14ac:dyDescent="0.25">
      <c r="A20" s="1"/>
      <c r="B20" t="s">
        <v>54</v>
      </c>
      <c r="C20" s="33">
        <f>Calcul!F42</f>
        <v>800</v>
      </c>
      <c r="D20" t="s">
        <v>20</v>
      </c>
      <c r="K20" s="2"/>
    </row>
    <row r="21" spans="1:11" x14ac:dyDescent="0.25">
      <c r="A21" s="1"/>
      <c r="B21" t="s">
        <v>53</v>
      </c>
      <c r="C21" s="33">
        <f>Calcul!F43</f>
        <v>1200</v>
      </c>
      <c r="D21" t="s">
        <v>20</v>
      </c>
      <c r="K21" s="2"/>
    </row>
    <row r="22" spans="1:11" x14ac:dyDescent="0.25">
      <c r="A22" s="1"/>
      <c r="K22" s="2"/>
    </row>
    <row r="23" spans="1:11" x14ac:dyDescent="0.25">
      <c r="A23" s="1"/>
      <c r="K23" s="2"/>
    </row>
    <row r="24" spans="1:11" ht="15.75" thickBot="1" x14ac:dyDescent="0.3">
      <c r="A24" s="1"/>
      <c r="K24" s="2"/>
    </row>
    <row r="25" spans="1:11" ht="15.75" thickBot="1" x14ac:dyDescent="0.3">
      <c r="A25" s="1"/>
      <c r="B25" s="84" t="s">
        <v>90</v>
      </c>
      <c r="C25" s="85"/>
      <c r="D25" s="86"/>
      <c r="K25" s="2"/>
    </row>
    <row r="26" spans="1:11" x14ac:dyDescent="0.25">
      <c r="A26" s="1"/>
      <c r="K26" s="2"/>
    </row>
    <row r="27" spans="1:11" x14ac:dyDescent="0.25">
      <c r="A27" s="1"/>
      <c r="B27" t="s">
        <v>91</v>
      </c>
      <c r="C27" s="33">
        <f>(0.5*C15*D29/[2]!gammaM("m2",K3)+1/SQRT(3)*C14*D30/[2]!gammaM("m0",K3))/10</f>
        <v>9596.278438889578</v>
      </c>
      <c r="D27" t="s">
        <v>20</v>
      </c>
      <c r="J27" s="31">
        <f>C20/C27</f>
        <v>8.3365651079687825E-2</v>
      </c>
      <c r="K27" s="2" t="b">
        <f>IF(J27&lt;1,TRUE,FALSE)</f>
        <v>1</v>
      </c>
    </row>
    <row r="28" spans="1:11" x14ac:dyDescent="0.25">
      <c r="A28" s="1"/>
      <c r="B28" t="s">
        <v>92</v>
      </c>
      <c r="K28" s="2"/>
    </row>
    <row r="29" spans="1:11" x14ac:dyDescent="0.25">
      <c r="A29" s="1"/>
      <c r="C29" t="s">
        <v>97</v>
      </c>
      <c r="D29" s="44">
        <f>(G14+(G9-1)*G12-(G9-0.5)*G10)*C10</f>
        <v>184</v>
      </c>
      <c r="E29" t="s">
        <v>99</v>
      </c>
      <c r="K29" s="2"/>
    </row>
    <row r="30" spans="1:11" x14ac:dyDescent="0.25">
      <c r="A30" s="1"/>
      <c r="C30" t="s">
        <v>98</v>
      </c>
      <c r="D30" s="44">
        <f>(G13+(G8-1)*G11-(G8-0.5)*G10)*C10</f>
        <v>512</v>
      </c>
      <c r="E30" t="s">
        <v>99</v>
      </c>
      <c r="K30" s="2"/>
    </row>
    <row r="31" spans="1:11" x14ac:dyDescent="0.25">
      <c r="A31" s="1"/>
      <c r="K31" s="2"/>
    </row>
    <row r="32" spans="1:11" x14ac:dyDescent="0.25">
      <c r="A32" s="1"/>
      <c r="K32" s="2"/>
    </row>
    <row r="33" spans="1:11" ht="15.75" thickBot="1" x14ac:dyDescent="0.3">
      <c r="A33" s="1"/>
      <c r="K33" s="2"/>
    </row>
    <row r="34" spans="1:11" ht="15.75" thickBot="1" x14ac:dyDescent="0.3">
      <c r="A34" s="1"/>
      <c r="B34" s="84" t="s">
        <v>100</v>
      </c>
      <c r="C34" s="85"/>
      <c r="D34" s="86"/>
      <c r="K34" s="2"/>
    </row>
    <row r="35" spans="1:11" x14ac:dyDescent="0.25">
      <c r="A35" s="1"/>
      <c r="K35" s="2"/>
    </row>
    <row r="36" spans="1:11" x14ac:dyDescent="0.25">
      <c r="A36" s="1"/>
      <c r="B36" t="s">
        <v>101</v>
      </c>
      <c r="C36" s="33">
        <f>(C15*D38/[2]!gammaM("m2",K3)+1/SQRT(3)*C14*D39/[2]!gammaM("m0",K3))/10</f>
        <v>15591.325127951884</v>
      </c>
      <c r="D36" t="s">
        <v>20</v>
      </c>
      <c r="J36" s="31">
        <f>C21/C36</f>
        <v>7.6965876226175206E-2</v>
      </c>
      <c r="K36" s="2" t="b">
        <f>IF(J36&lt;1,TRUE,FALSE)</f>
        <v>1</v>
      </c>
    </row>
    <row r="37" spans="1:11" x14ac:dyDescent="0.25">
      <c r="A37" s="1"/>
      <c r="B37" t="s">
        <v>92</v>
      </c>
      <c r="K37" s="2"/>
    </row>
    <row r="38" spans="1:11" x14ac:dyDescent="0.25">
      <c r="A38" s="1"/>
      <c r="C38" t="s">
        <v>97</v>
      </c>
      <c r="D38" s="44">
        <f>((G8-1)*G11-(G8-1)*G10)*C10</f>
        <v>368</v>
      </c>
      <c r="E38" t="s">
        <v>99</v>
      </c>
      <c r="K38" s="2"/>
    </row>
    <row r="39" spans="1:11" x14ac:dyDescent="0.25">
      <c r="A39" s="1"/>
      <c r="C39" t="s">
        <v>98</v>
      </c>
      <c r="D39" s="44">
        <f>2*((G9-1)*G12+G14-(G9-0.5)*G10)*C10</f>
        <v>368</v>
      </c>
      <c r="E39" t="s">
        <v>99</v>
      </c>
      <c r="K39" s="2"/>
    </row>
    <row r="40" spans="1:11" x14ac:dyDescent="0.25">
      <c r="A40" s="1"/>
      <c r="K40" s="2"/>
    </row>
    <row r="41" spans="1:11" x14ac:dyDescent="0.25">
      <c r="A41" s="1"/>
      <c r="K41" s="2"/>
    </row>
    <row r="42" spans="1:11" ht="15.75" thickBot="1" x14ac:dyDescent="0.3">
      <c r="A42" s="1"/>
      <c r="K42" s="2"/>
    </row>
    <row r="43" spans="1:11" ht="15.75" thickBot="1" x14ac:dyDescent="0.3">
      <c r="A43" s="1"/>
      <c r="B43" s="84" t="s">
        <v>102</v>
      </c>
      <c r="C43" s="85"/>
      <c r="D43" s="86"/>
      <c r="K43" s="2"/>
    </row>
    <row r="44" spans="1:11" x14ac:dyDescent="0.25">
      <c r="A44" s="1"/>
      <c r="K44" s="2"/>
    </row>
    <row r="45" spans="1:11" x14ac:dyDescent="0.25">
      <c r="A45" s="1"/>
      <c r="K45" s="2"/>
    </row>
    <row r="46" spans="1:11" x14ac:dyDescent="0.25">
      <c r="A46" s="1"/>
      <c r="J46" s="31">
        <f>J36+J27</f>
        <v>0.16033152730586303</v>
      </c>
      <c r="K46" s="2" t="b">
        <f>IF(J46&lt;1,TRUE,FALSE)</f>
        <v>1</v>
      </c>
    </row>
    <row r="47" spans="1:11" x14ac:dyDescent="0.25">
      <c r="A47" s="1"/>
      <c r="K47" s="2"/>
    </row>
    <row r="48" spans="1:11" x14ac:dyDescent="0.25">
      <c r="A48" s="1"/>
      <c r="K48" s="2"/>
    </row>
    <row r="49" spans="1:11" x14ac:dyDescent="0.25">
      <c r="A49" s="1"/>
      <c r="K49" s="2"/>
    </row>
    <row r="50" spans="1:11" x14ac:dyDescent="0.25">
      <c r="A50" s="1"/>
      <c r="K50" s="2"/>
    </row>
    <row r="51" spans="1:11" x14ac:dyDescent="0.25">
      <c r="A51" s="1"/>
      <c r="K51" s="2"/>
    </row>
    <row r="52" spans="1:11" x14ac:dyDescent="0.25">
      <c r="A52" s="1"/>
      <c r="K52" s="2"/>
    </row>
    <row r="53" spans="1:11" x14ac:dyDescent="0.25">
      <c r="A53" s="1"/>
      <c r="K53" s="2"/>
    </row>
    <row r="54" spans="1:11" x14ac:dyDescent="0.25">
      <c r="A54" s="1"/>
      <c r="K54" s="2"/>
    </row>
    <row r="55" spans="1:11" x14ac:dyDescent="0.25">
      <c r="A55" s="1"/>
      <c r="K55" s="2"/>
    </row>
    <row r="56" spans="1:11" x14ac:dyDescent="0.25">
      <c r="A56" s="1"/>
      <c r="K56" s="2"/>
    </row>
    <row r="57" spans="1:11" x14ac:dyDescent="0.25">
      <c r="A57" s="40"/>
      <c r="B57" s="41"/>
      <c r="C57" s="41"/>
      <c r="D57" s="41"/>
      <c r="E57" s="41"/>
      <c r="F57" s="41"/>
      <c r="G57" s="41"/>
      <c r="H57" s="41"/>
      <c r="I57" s="41"/>
      <c r="J57" s="41"/>
      <c r="K57" s="42"/>
    </row>
  </sheetData>
  <mergeCells count="7">
    <mergeCell ref="B43:D43"/>
    <mergeCell ref="A1:K2"/>
    <mergeCell ref="B6:D6"/>
    <mergeCell ref="F6:H6"/>
    <mergeCell ref="B18:D18"/>
    <mergeCell ref="B25:D25"/>
    <mergeCell ref="B34:D34"/>
  </mergeCells>
  <conditionalFormatting sqref="K27">
    <cfRule type="expression" dxfId="8" priority="5">
      <formula>NOT(K27)</formula>
    </cfRule>
    <cfRule type="expression" dxfId="7" priority="6">
      <formula>K27</formula>
    </cfRule>
  </conditionalFormatting>
  <conditionalFormatting sqref="K36">
    <cfRule type="expression" dxfId="6" priority="3">
      <formula>NOT(K36)</formula>
    </cfRule>
    <cfRule type="expression" dxfId="5" priority="4">
      <formula>K36</formula>
    </cfRule>
  </conditionalFormatting>
  <conditionalFormatting sqref="K46">
    <cfRule type="expression" dxfId="4" priority="1">
      <formula>NOT(K46)</formula>
    </cfRule>
    <cfRule type="expression" dxfId="3" priority="2">
      <formula>K46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5265A-F450-4A82-9671-B4EE94D3BB8F}">
  <sheetPr codeName="Feuil9"/>
  <dimension ref="A1:AA57"/>
  <sheetViews>
    <sheetView zoomScaleNormal="100" workbookViewId="0">
      <selection activeCell="G54" sqref="G54"/>
    </sheetView>
  </sheetViews>
  <sheetFormatPr baseColWidth="10" defaultRowHeight="15" x14ac:dyDescent="0.25"/>
  <sheetData>
    <row r="1" spans="1:11" x14ac:dyDescent="0.25">
      <c r="A1" s="78" t="s">
        <v>160</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c r="F8" s="14" t="s">
        <v>39</v>
      </c>
      <c r="G8" s="14">
        <f>Calcul!E5</f>
        <v>2</v>
      </c>
      <c r="K8" s="2"/>
    </row>
    <row r="9" spans="1:11" x14ac:dyDescent="0.25">
      <c r="A9" s="1"/>
      <c r="B9" s="14"/>
      <c r="F9" s="14" t="s">
        <v>106</v>
      </c>
      <c r="G9">
        <f>Calcul!E6</f>
        <v>1</v>
      </c>
      <c r="K9" s="2"/>
    </row>
    <row r="10" spans="1:11" x14ac:dyDescent="0.25">
      <c r="A10" s="1"/>
      <c r="B10" s="14" t="s">
        <v>144</v>
      </c>
      <c r="C10" s="14">
        <f>Calcul!I30</f>
        <v>8</v>
      </c>
      <c r="D10" t="s">
        <v>14</v>
      </c>
      <c r="F10" s="14" t="s">
        <v>132</v>
      </c>
      <c r="G10">
        <f>Calcul!E7</f>
        <v>12</v>
      </c>
      <c r="H10" t="s">
        <v>14</v>
      </c>
      <c r="K10" s="2"/>
    </row>
    <row r="11" spans="1:11" x14ac:dyDescent="0.25">
      <c r="A11" s="1"/>
      <c r="B11" s="14"/>
      <c r="F11" s="14" t="s">
        <v>30</v>
      </c>
      <c r="G11" s="14">
        <f>Calcul!E9</f>
        <v>14</v>
      </c>
      <c r="H11" t="s">
        <v>14</v>
      </c>
      <c r="K11" s="2"/>
    </row>
    <row r="12" spans="1:11" x14ac:dyDescent="0.25">
      <c r="A12" s="1"/>
      <c r="B12" s="14" t="s">
        <v>66</v>
      </c>
      <c r="C12">
        <f>Calcul!I32</f>
        <v>360</v>
      </c>
      <c r="D12" t="s">
        <v>50</v>
      </c>
      <c r="F12" s="14" t="s">
        <v>93</v>
      </c>
      <c r="G12">
        <f>Calcul!E13</f>
        <v>25</v>
      </c>
      <c r="H12" t="s">
        <v>14</v>
      </c>
      <c r="K12" s="2"/>
    </row>
    <row r="13" spans="1:11" x14ac:dyDescent="0.25">
      <c r="A13" s="1"/>
      <c r="B13" s="14"/>
      <c r="C13" s="43"/>
      <c r="F13" s="14" t="s">
        <v>31</v>
      </c>
      <c r="G13" s="14">
        <f>Calcul!E14</f>
        <v>60</v>
      </c>
      <c r="H13" t="s">
        <v>14</v>
      </c>
      <c r="K13" s="2"/>
    </row>
    <row r="14" spans="1:11" x14ac:dyDescent="0.25">
      <c r="A14" s="1"/>
      <c r="B14" s="14"/>
      <c r="F14" s="14" t="s">
        <v>95</v>
      </c>
      <c r="G14">
        <f>Calcul!E16</f>
        <v>30</v>
      </c>
      <c r="H14" t="s">
        <v>14</v>
      </c>
      <c r="K14" s="2"/>
    </row>
    <row r="15" spans="1:11" x14ac:dyDescent="0.25">
      <c r="A15" s="1"/>
      <c r="B15" s="14"/>
      <c r="C15" s="44"/>
      <c r="F15" s="14" t="s">
        <v>40</v>
      </c>
      <c r="G15">
        <f>IF(Calcul!E6&gt;1,Calcul!I14,0)</f>
        <v>0</v>
      </c>
      <c r="H15" t="s">
        <v>14</v>
      </c>
      <c r="K15" s="2"/>
    </row>
    <row r="16" spans="1:11" x14ac:dyDescent="0.25">
      <c r="A16" s="1"/>
      <c r="F16" s="14" t="s">
        <v>15</v>
      </c>
      <c r="G16" s="23" t="str">
        <f>Calcul!E8</f>
        <v>8.8</v>
      </c>
      <c r="K16" s="2"/>
    </row>
    <row r="17" spans="1:27" x14ac:dyDescent="0.25">
      <c r="A17" s="1"/>
      <c r="B17" s="14"/>
      <c r="K17" s="2"/>
    </row>
    <row r="18" spans="1:27" ht="15.75" thickBot="1" x14ac:dyDescent="0.3">
      <c r="A18" s="1"/>
      <c r="K18" s="2"/>
    </row>
    <row r="19" spans="1:27" ht="15.75" thickBot="1" x14ac:dyDescent="0.3">
      <c r="A19" s="1"/>
      <c r="B19" s="84" t="s">
        <v>52</v>
      </c>
      <c r="C19" s="85"/>
      <c r="D19" s="86"/>
      <c r="F19" s="84" t="s">
        <v>107</v>
      </c>
      <c r="G19" s="85"/>
      <c r="H19" s="85"/>
      <c r="I19" s="86"/>
      <c r="K19" s="2"/>
    </row>
    <row r="20" spans="1:27" ht="15.75" thickBot="1" x14ac:dyDescent="0.3">
      <c r="A20" s="1"/>
      <c r="K20" s="2"/>
    </row>
    <row r="21" spans="1:27" x14ac:dyDescent="0.25">
      <c r="A21" s="1"/>
      <c r="B21" t="s">
        <v>54</v>
      </c>
      <c r="C21" s="33">
        <f>Calcul!F42</f>
        <v>800</v>
      </c>
      <c r="D21" t="s">
        <v>20</v>
      </c>
      <c r="F21" t="s">
        <v>108</v>
      </c>
      <c r="G21">
        <f>(0.5*G9-0.5)*G15</f>
        <v>0</v>
      </c>
      <c r="H21" t="s">
        <v>14</v>
      </c>
      <c r="K21" s="2"/>
      <c r="N21" s="34" t="s">
        <v>104</v>
      </c>
      <c r="O21" s="19"/>
      <c r="P21" s="19"/>
      <c r="Q21" s="19"/>
      <c r="R21" s="20"/>
      <c r="T21" s="34" t="s">
        <v>111</v>
      </c>
      <c r="U21" s="19"/>
      <c r="V21" s="19"/>
      <c r="W21" s="19"/>
      <c r="X21" s="19"/>
      <c r="Y21" s="19"/>
      <c r="Z21" s="19"/>
      <c r="AA21" s="20"/>
    </row>
    <row r="22" spans="1:27" x14ac:dyDescent="0.25">
      <c r="A22" s="1"/>
      <c r="B22" t="s">
        <v>53</v>
      </c>
      <c r="C22" s="33">
        <f>Calcul!F43</f>
        <v>1200</v>
      </c>
      <c r="D22" t="s">
        <v>20</v>
      </c>
      <c r="F22" t="s">
        <v>109</v>
      </c>
      <c r="G22">
        <f>(0.5*G8-0.5)*G13</f>
        <v>30</v>
      </c>
      <c r="H22" t="s">
        <v>14</v>
      </c>
      <c r="K22" s="2"/>
      <c r="N22" s="24"/>
      <c r="R22" s="25"/>
      <c r="T22" s="24"/>
      <c r="AA22" s="25"/>
    </row>
    <row r="23" spans="1:27" x14ac:dyDescent="0.25">
      <c r="A23" s="1"/>
      <c r="B23" t="s">
        <v>55</v>
      </c>
      <c r="C23">
        <f>Calcul!F47</f>
        <v>28</v>
      </c>
      <c r="D23" t="s">
        <v>26</v>
      </c>
      <c r="F23" s="45" t="s">
        <v>110</v>
      </c>
      <c r="G23">
        <f>V37+V56</f>
        <v>1800</v>
      </c>
      <c r="H23" t="s">
        <v>99</v>
      </c>
      <c r="K23" s="2"/>
      <c r="N23" s="24"/>
      <c r="R23" s="25"/>
      <c r="T23" s="24"/>
      <c r="AA23" s="25"/>
    </row>
    <row r="24" spans="1:27" x14ac:dyDescent="0.25">
      <c r="A24" s="1"/>
      <c r="K24" s="2"/>
      <c r="N24" s="35" t="s">
        <v>105</v>
      </c>
      <c r="R24" s="25"/>
      <c r="T24" s="24"/>
      <c r="AA24" s="25"/>
    </row>
    <row r="25" spans="1:27" x14ac:dyDescent="0.25">
      <c r="A25" s="1"/>
      <c r="K25" s="2"/>
      <c r="N25" s="24"/>
      <c r="R25" s="25"/>
      <c r="T25" s="24"/>
      <c r="AA25" s="25"/>
    </row>
    <row r="26" spans="1:27" ht="15.75" thickBot="1" x14ac:dyDescent="0.3">
      <c r="A26" s="1"/>
      <c r="K26" s="2"/>
      <c r="N26" s="26"/>
      <c r="O26" s="27"/>
      <c r="P26" s="27"/>
      <c r="Q26" s="27"/>
      <c r="R26" s="21"/>
      <c r="T26" s="24"/>
      <c r="AA26" s="25"/>
    </row>
    <row r="27" spans="1:27" ht="15.75" thickBot="1" x14ac:dyDescent="0.3">
      <c r="A27" s="1"/>
      <c r="B27" s="84" t="s">
        <v>128</v>
      </c>
      <c r="C27" s="85"/>
      <c r="D27" s="85"/>
      <c r="E27" s="85"/>
      <c r="F27" s="85"/>
      <c r="G27" s="85"/>
      <c r="H27" s="85"/>
      <c r="I27" s="86"/>
      <c r="K27" s="2"/>
      <c r="T27" s="24"/>
      <c r="AA27" s="25"/>
    </row>
    <row r="28" spans="1:27" x14ac:dyDescent="0.25">
      <c r="A28" s="1"/>
      <c r="K28" s="2"/>
      <c r="T28" s="24"/>
      <c r="AA28" s="25"/>
    </row>
    <row r="29" spans="1:27" x14ac:dyDescent="0.25">
      <c r="A29" s="1"/>
      <c r="B29" s="17" t="s">
        <v>124</v>
      </c>
      <c r="K29" s="2"/>
      <c r="T29" s="24"/>
      <c r="U29" s="14" t="s">
        <v>116</v>
      </c>
      <c r="V29">
        <f>QUOTIENT(G9,2)-1</f>
        <v>-1</v>
      </c>
      <c r="AA29" s="25"/>
    </row>
    <row r="30" spans="1:27" x14ac:dyDescent="0.25">
      <c r="A30" s="1"/>
      <c r="C30" s="14" t="s">
        <v>123</v>
      </c>
      <c r="D30" s="44">
        <f>C21/(G9*G8)</f>
        <v>400</v>
      </c>
      <c r="E30" t="s">
        <v>20</v>
      </c>
      <c r="K30" s="2"/>
      <c r="T30" s="24"/>
      <c r="U30" s="14" t="s">
        <v>113</v>
      </c>
      <c r="V30">
        <f>2*G15^2*G8</f>
        <v>0</v>
      </c>
      <c r="AA30" s="25"/>
    </row>
    <row r="31" spans="1:27" x14ac:dyDescent="0.25">
      <c r="A31" s="1"/>
      <c r="C31" s="14" t="s">
        <v>68</v>
      </c>
      <c r="D31" s="44">
        <f>(C23*10000*G21/G23)/10</f>
        <v>0</v>
      </c>
      <c r="E31" t="s">
        <v>20</v>
      </c>
      <c r="K31" s="2"/>
      <c r="T31" s="24"/>
      <c r="U31" s="14" t="s">
        <v>114</v>
      </c>
      <c r="V31">
        <f>1/4</f>
        <v>0.25</v>
      </c>
      <c r="AA31" s="25"/>
    </row>
    <row r="32" spans="1:27" x14ac:dyDescent="0.25">
      <c r="A32" s="1"/>
      <c r="C32" s="50" t="s">
        <v>126</v>
      </c>
      <c r="D32" s="52">
        <f>D30+D31</f>
        <v>400</v>
      </c>
      <c r="E32" s="17" t="s">
        <v>20</v>
      </c>
      <c r="K32" s="2"/>
      <c r="T32" s="24"/>
      <c r="U32" s="14" t="s">
        <v>115</v>
      </c>
      <c r="V32">
        <f>3/4*MOD(G9,2)*(1+V29)</f>
        <v>0</v>
      </c>
      <c r="AA32" s="25"/>
    </row>
    <row r="33" spans="1:27" x14ac:dyDescent="0.25">
      <c r="A33" s="1"/>
      <c r="K33" s="2"/>
      <c r="N33" s="17"/>
      <c r="T33" s="24"/>
      <c r="U33" s="14" t="s">
        <v>117</v>
      </c>
      <c r="V33">
        <f>V29/4</f>
        <v>-0.25</v>
      </c>
      <c r="AA33" s="25"/>
    </row>
    <row r="34" spans="1:27" x14ac:dyDescent="0.25">
      <c r="A34" s="1"/>
      <c r="K34" s="2"/>
      <c r="T34" s="24"/>
      <c r="U34" s="14" t="s">
        <v>118</v>
      </c>
      <c r="V34">
        <f>V29*(V29+1)*(2*V29+1)/6</f>
        <v>0</v>
      </c>
      <c r="AA34" s="25"/>
    </row>
    <row r="35" spans="1:27" x14ac:dyDescent="0.25">
      <c r="A35" s="1"/>
      <c r="B35" s="17" t="s">
        <v>125</v>
      </c>
      <c r="K35" s="2"/>
      <c r="T35" s="24"/>
      <c r="U35" s="14" t="s">
        <v>119</v>
      </c>
      <c r="V35">
        <f>V29*(V29+1)/2</f>
        <v>0</v>
      </c>
      <c r="AA35" s="25"/>
    </row>
    <row r="36" spans="1:27" x14ac:dyDescent="0.25">
      <c r="A36" s="1"/>
      <c r="C36" s="14" t="s">
        <v>57</v>
      </c>
      <c r="D36" s="33">
        <f>C22/(G8*G9)</f>
        <v>600</v>
      </c>
      <c r="E36" t="s">
        <v>20</v>
      </c>
      <c r="K36" s="2"/>
      <c r="T36" s="24"/>
      <c r="U36" s="14" t="s">
        <v>120</v>
      </c>
      <c r="V36">
        <f>MOD(G9,2)*V29*(V29+1)/2</f>
        <v>0</v>
      </c>
      <c r="AA36" s="25"/>
    </row>
    <row r="37" spans="1:27" ht="15.75" thickBot="1" x14ac:dyDescent="0.3">
      <c r="A37" s="1"/>
      <c r="C37" s="14" t="s">
        <v>68</v>
      </c>
      <c r="D37" s="44">
        <f>(C23*10000*G22/G23)/10</f>
        <v>466.66666666666669</v>
      </c>
      <c r="E37" t="s">
        <v>20</v>
      </c>
      <c r="K37" s="2"/>
      <c r="T37" s="26"/>
      <c r="U37" s="30" t="s">
        <v>121</v>
      </c>
      <c r="V37" s="27">
        <f>V30*(SUM(V31:V36))</f>
        <v>0</v>
      </c>
      <c r="W37" s="27"/>
      <c r="X37" s="27"/>
      <c r="Y37" s="27"/>
      <c r="Z37" s="27"/>
      <c r="AA37" s="21"/>
    </row>
    <row r="38" spans="1:27" x14ac:dyDescent="0.25">
      <c r="A38" s="1"/>
      <c r="C38" s="50" t="s">
        <v>127</v>
      </c>
      <c r="D38" s="51">
        <f>D36+D37</f>
        <v>1066.6666666666667</v>
      </c>
      <c r="E38" s="17" t="s">
        <v>20</v>
      </c>
      <c r="K38" s="2"/>
    </row>
    <row r="39" spans="1:27" ht="15.75" thickBot="1" x14ac:dyDescent="0.3">
      <c r="A39" s="1"/>
      <c r="K39" s="2"/>
    </row>
    <row r="40" spans="1:27" x14ac:dyDescent="0.25">
      <c r="A40" s="1"/>
      <c r="K40" s="2"/>
      <c r="T40" s="34" t="s">
        <v>112</v>
      </c>
      <c r="U40" s="19"/>
      <c r="V40" s="19"/>
      <c r="W40" s="19"/>
      <c r="X40" s="19"/>
      <c r="Y40" s="19"/>
      <c r="Z40" s="19"/>
      <c r="AA40" s="20"/>
    </row>
    <row r="41" spans="1:27" ht="15.75" thickBot="1" x14ac:dyDescent="0.3">
      <c r="A41" s="1"/>
      <c r="K41" s="2"/>
      <c r="T41" s="24"/>
      <c r="AA41" s="25"/>
    </row>
    <row r="42" spans="1:27" ht="15.75" thickBot="1" x14ac:dyDescent="0.3">
      <c r="A42" s="1"/>
      <c r="B42" s="84" t="s">
        <v>129</v>
      </c>
      <c r="C42" s="85"/>
      <c r="D42" s="85"/>
      <c r="E42" s="85"/>
      <c r="F42" s="85"/>
      <c r="G42" s="85"/>
      <c r="H42" s="85"/>
      <c r="I42" s="86"/>
      <c r="K42" s="2"/>
      <c r="T42" s="24"/>
      <c r="AA42" s="25"/>
    </row>
    <row r="43" spans="1:27" x14ac:dyDescent="0.25">
      <c r="A43" s="1"/>
      <c r="K43" s="2"/>
      <c r="T43" s="24"/>
      <c r="AA43" s="25"/>
    </row>
    <row r="44" spans="1:27" x14ac:dyDescent="0.25">
      <c r="A44" s="1"/>
      <c r="B44" t="s">
        <v>217</v>
      </c>
      <c r="K44" s="2"/>
      <c r="T44" s="24"/>
      <c r="AA44" s="25"/>
    </row>
    <row r="45" spans="1:27" x14ac:dyDescent="0.25">
      <c r="A45" s="1"/>
      <c r="B45" t="s">
        <v>218</v>
      </c>
      <c r="K45" s="2"/>
      <c r="T45" s="24"/>
      <c r="AA45" s="25"/>
    </row>
    <row r="46" spans="1:27" x14ac:dyDescent="0.25">
      <c r="A46" s="1"/>
      <c r="K46" s="2"/>
      <c r="N46" t="s">
        <v>221</v>
      </c>
      <c r="T46" s="24"/>
      <c r="AA46" s="25"/>
    </row>
    <row r="47" spans="1:27" x14ac:dyDescent="0.25">
      <c r="A47" s="1"/>
      <c r="C47" t="s">
        <v>134</v>
      </c>
      <c r="D47" s="44">
        <f>[3]!FbRd(G10,G11,C10,C12,G14,G15,G12,G13,[3]!fub(G16),,K3)</f>
        <v>4937.1428571428569</v>
      </c>
      <c r="E47" t="s">
        <v>20</v>
      </c>
      <c r="F47" s="23" t="s">
        <v>219</v>
      </c>
      <c r="G47" s="54">
        <f>IF(G9=1,1.5*C12*G10*C10/[2]!gammaM("m2",K3)/10,"-")</f>
        <v>4147.2</v>
      </c>
      <c r="H47" t="s">
        <v>20</v>
      </c>
      <c r="K47" s="2"/>
      <c r="T47" s="24"/>
      <c r="AA47" s="25"/>
    </row>
    <row r="48" spans="1:27" x14ac:dyDescent="0.25">
      <c r="A48" s="1"/>
      <c r="C48" t="s">
        <v>220</v>
      </c>
      <c r="K48" s="2"/>
      <c r="T48" s="24"/>
      <c r="U48" s="14" t="s">
        <v>116</v>
      </c>
      <c r="V48">
        <f>QUOTIENT(G8,2)-1</f>
        <v>0</v>
      </c>
      <c r="AA48" s="25"/>
    </row>
    <row r="49" spans="1:27" x14ac:dyDescent="0.25">
      <c r="A49" s="1"/>
      <c r="C49" t="s">
        <v>134</v>
      </c>
      <c r="D49" s="44">
        <f>IF(G9=1,MIN(G47,D47),D47)</f>
        <v>4147.2</v>
      </c>
      <c r="E49" t="s">
        <v>20</v>
      </c>
      <c r="K49" s="2"/>
      <c r="T49" s="24"/>
      <c r="U49" s="14" t="s">
        <v>113</v>
      </c>
      <c r="V49">
        <f>2*G13^2*G9</f>
        <v>7200</v>
      </c>
      <c r="AA49" s="25"/>
    </row>
    <row r="50" spans="1:27" x14ac:dyDescent="0.25">
      <c r="A50" s="1"/>
      <c r="K50" s="2"/>
      <c r="T50" s="24"/>
      <c r="U50" s="14" t="s">
        <v>114</v>
      </c>
      <c r="V50">
        <f>1/4</f>
        <v>0.25</v>
      </c>
      <c r="AA50" s="25"/>
    </row>
    <row r="51" spans="1:27" x14ac:dyDescent="0.25">
      <c r="A51" s="1"/>
      <c r="B51" s="17" t="s">
        <v>130</v>
      </c>
      <c r="K51" s="2"/>
      <c r="T51" s="24"/>
      <c r="U51" s="14" t="s">
        <v>115</v>
      </c>
      <c r="V51">
        <f>3/4*MOD(G8,2)*(1+V48)</f>
        <v>0</v>
      </c>
      <c r="AA51" s="25"/>
    </row>
    <row r="52" spans="1:27" x14ac:dyDescent="0.25">
      <c r="A52" s="1"/>
      <c r="C52" t="s">
        <v>131</v>
      </c>
      <c r="D52" s="44">
        <f>[3]!FbRd(G10,G11,C10,C12,G12,G13,G14,G15,[3]!fub(G16),,K3)</f>
        <v>4114.2857142857147</v>
      </c>
      <c r="E52" t="s">
        <v>20</v>
      </c>
      <c r="F52" t="s">
        <v>133</v>
      </c>
      <c r="J52" s="31">
        <f>D32/D52</f>
        <v>9.722222222222221E-2</v>
      </c>
      <c r="K52" s="2" t="b">
        <f>IF(J52&lt;1,TRUE,FALSE)</f>
        <v>1</v>
      </c>
      <c r="T52" s="24"/>
      <c r="U52" s="14" t="s">
        <v>117</v>
      </c>
      <c r="V52">
        <f>V48/4</f>
        <v>0</v>
      </c>
      <c r="AA52" s="25"/>
    </row>
    <row r="53" spans="1:27" x14ac:dyDescent="0.25">
      <c r="A53" s="1"/>
      <c r="C53" t="s">
        <v>134</v>
      </c>
      <c r="D53" s="44">
        <f>D49</f>
        <v>4147.2</v>
      </c>
      <c r="E53" t="s">
        <v>20</v>
      </c>
      <c r="F53" t="s">
        <v>135</v>
      </c>
      <c r="J53" s="31">
        <f>D38/D53</f>
        <v>0.25720164609053503</v>
      </c>
      <c r="K53" s="2" t="b">
        <f>IF(J53&lt;1,TRUE,FALSE)</f>
        <v>1</v>
      </c>
      <c r="T53" s="24"/>
      <c r="U53" s="14" t="s">
        <v>118</v>
      </c>
      <c r="V53">
        <f>V48*(V48+1)*(2*V48+1)/6</f>
        <v>0</v>
      </c>
      <c r="AA53" s="25"/>
    </row>
    <row r="54" spans="1:27" x14ac:dyDescent="0.25">
      <c r="A54" s="1"/>
      <c r="C54" t="s">
        <v>137</v>
      </c>
      <c r="J54" s="31">
        <f>J52^2+J53^2</f>
        <v>7.5604847245507992E-2</v>
      </c>
      <c r="K54" s="2" t="b">
        <f>IF(J54&lt;1,TRUE,FALSE)</f>
        <v>1</v>
      </c>
      <c r="T54" s="24"/>
      <c r="U54" s="14" t="s">
        <v>119</v>
      </c>
      <c r="V54">
        <f>V48*(V48+1)/2</f>
        <v>0</v>
      </c>
      <c r="AA54" s="25"/>
    </row>
    <row r="55" spans="1:27" x14ac:dyDescent="0.25">
      <c r="A55" s="1"/>
      <c r="K55" s="2"/>
      <c r="T55" s="24"/>
      <c r="U55" s="14" t="s">
        <v>120</v>
      </c>
      <c r="V55">
        <f>MOD(G8,2)*V48*(V48+1)/2</f>
        <v>0</v>
      </c>
      <c r="AA55" s="25"/>
    </row>
    <row r="56" spans="1:27" ht="15.75" thickBot="1" x14ac:dyDescent="0.3">
      <c r="A56" s="1"/>
      <c r="K56" s="2"/>
      <c r="T56" s="26"/>
      <c r="U56" s="30" t="s">
        <v>122</v>
      </c>
      <c r="V56" s="27">
        <f>V49*SUM(V50:V55)</f>
        <v>1800</v>
      </c>
      <c r="W56" s="27"/>
      <c r="X56" s="27"/>
      <c r="Y56" s="27"/>
      <c r="Z56" s="27"/>
      <c r="AA56" s="21"/>
    </row>
    <row r="57" spans="1:27" x14ac:dyDescent="0.25">
      <c r="A57" s="40"/>
      <c r="B57" s="41"/>
      <c r="C57" s="41"/>
      <c r="D57" s="41"/>
      <c r="E57" s="41"/>
      <c r="F57" s="41"/>
      <c r="G57" s="41"/>
      <c r="H57" s="41"/>
      <c r="I57" s="41"/>
      <c r="J57" s="41"/>
      <c r="K57" s="42"/>
    </row>
  </sheetData>
  <mergeCells count="7">
    <mergeCell ref="B42:I42"/>
    <mergeCell ref="A1:K2"/>
    <mergeCell ref="B6:D6"/>
    <mergeCell ref="F6:H6"/>
    <mergeCell ref="B19:D19"/>
    <mergeCell ref="F19:I19"/>
    <mergeCell ref="B27:I27"/>
  </mergeCells>
  <conditionalFormatting sqref="K52:K54">
    <cfRule type="expression" dxfId="2" priority="2">
      <formula>NOT(K52)</formula>
    </cfRule>
    <cfRule type="expression" dxfId="1" priority="3">
      <formula>K52</formula>
    </cfRule>
  </conditionalFormatting>
  <conditionalFormatting sqref="F47">
    <cfRule type="expression" dxfId="0" priority="1">
      <formula>$D$47&gt;$G$47</formula>
    </cfRule>
  </conditionalFormatting>
  <pageMargins left="0.7" right="0.7" top="0.75" bottom="0.75" header="0.3" footer="0.3"/>
  <pageSetup paperSize="9" scale="69" orientation="portrait" r:id="rId1"/>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Copyright</vt:lpstr>
      <vt:lpstr>Suivi</vt:lpstr>
      <vt:lpstr>Calcul</vt:lpstr>
      <vt:lpstr>FRd1</vt:lpstr>
      <vt:lpstr>FRd2</vt:lpstr>
      <vt:lpstr>FRd3</vt:lpstr>
      <vt:lpstr>FRd4</vt:lpstr>
      <vt:lpstr>FRd5</vt:lpstr>
      <vt:lpstr>FRd6</vt:lpstr>
      <vt:lpstr>FRd7</vt:lpstr>
      <vt:lpstr>Calcul!Zone_d_impression</vt:lpstr>
      <vt:lpstr>'FRd1'!Zone_d_impression</vt:lpstr>
      <vt:lpstr>'FRd2'!Zone_d_impression</vt:lpstr>
      <vt:lpstr>'FRd3'!Zone_d_impression</vt:lpstr>
      <vt:lpstr>'FRd4'!Zone_d_impression</vt:lpstr>
      <vt:lpstr>'FRd5'!Zone_d_impression</vt:lpstr>
      <vt:lpstr>'FRd6'!Zone_d_impression</vt:lpstr>
      <vt:lpstr>'FRd7'!Zone_d_impression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Bourgeois</dc:creator>
  <cp:lastModifiedBy>Victor Bourgeois</cp:lastModifiedBy>
  <cp:lastPrinted>2023-05-04T15:35:01Z</cp:lastPrinted>
  <dcterms:created xsi:type="dcterms:W3CDTF">2015-06-05T18:19:34Z</dcterms:created>
  <dcterms:modified xsi:type="dcterms:W3CDTF">2023-05-05T09:02:27Z</dcterms:modified>
</cp:coreProperties>
</file>